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Lisez-moi" sheetId="1" state="visible" r:id="rId3"/>
    <sheet name="01_Pointeuses" sheetId="2" state="visible" r:id="rId4"/>
    <sheet name="02_Liens_Certification" sheetId="3" state="visible" r:id="rId5"/>
    <sheet name="03_Alimentations" sheetId="4" state="visible" r:id="rId6"/>
    <sheet name="04_Reseau_IP" sheetId="5" state="visible" r:id="rId7"/>
    <sheet name="05_Recapitulatif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Longueur du lien permanent mesurée par le certificateur. Limite contractuelle : 90 m (article 15 du CCTP).</t>
        </r>
      </text>
    </comment>
  </commentList>
</comments>
</file>

<file path=xl/sharedStrings.xml><?xml version="1.0" encoding="utf-8"?>
<sst xmlns="http://schemas.openxmlformats.org/spreadsheetml/2006/main" count="486" uniqueCount="364">
  <si>
    <t xml:space="preserve">REGISTRE DE REPÉRAGE ET DE CERTIFICATION — CHU LA RABTA — Consultation N° INF01/2026</t>
  </si>
  <si>
    <t xml:space="preserve">Objet</t>
  </si>
  <si>
    <t xml:space="preserve">Exemplaire électronique de la documentation et des plans de repérage exigés à la rubrique 14 du CCTP.</t>
  </si>
  <si>
    <t xml:space="preserve">Titulaire</t>
  </si>
  <si>
    <t xml:space="preserve">HIKVIEW ENGINEERING — Rue Marroc, 1250 Sbeitla — MF 1667878 K</t>
  </si>
  <si>
    <t xml:space="preserve">Document lié</t>
  </si>
  <si>
    <t xml:space="preserve">Plan de recollement avec repérage, indice A — exemplaire papier</t>
  </si>
  <si>
    <t xml:space="preserve">Indice</t>
  </si>
  <si>
    <t xml:space="preserve">A — à mettre à jour à chaque modification après réception</t>
  </si>
  <si>
    <t xml:space="preserve">CONVENTION DE REPÉRAGE</t>
  </si>
  <si>
    <t xml:space="preserve">Règle générale</t>
  </si>
  <si>
    <t xml:space="preserve">PRÉFIXE - Bnn - ii     où Bnn = numéro de bloc (B01 à B25) et ii = numéro d'ordre dans le bloc</t>
  </si>
  <si>
    <t xml:space="preserve">PTG</t>
  </si>
  <si>
    <t xml:space="preserve">Pointeuse biométrique  —  PTG-B06-01</t>
  </si>
  <si>
    <t xml:space="preserve">PR</t>
  </si>
  <si>
    <t xml:space="preserve">Prise RJ45 catégorie 6  —  PR-B06-01</t>
  </si>
  <si>
    <t xml:space="preserve">L</t>
  </si>
  <si>
    <t xml:space="preserve">Lien permanent cuivre  —  L-B06-01</t>
  </si>
  <si>
    <t xml:space="preserve">LT</t>
  </si>
  <si>
    <t xml:space="preserve">Local technique / répartiteur  —  LT-B06</t>
  </si>
  <si>
    <t xml:space="preserve">BP / P</t>
  </si>
  <si>
    <t xml:space="preserve">Panneau et port de brassage  —  LT-B06/BP1-P12</t>
  </si>
  <si>
    <t xml:space="preserve">SW</t>
  </si>
  <si>
    <t xml:space="preserve">Commutateur  —  SW-B06-01</t>
  </si>
  <si>
    <t xml:space="preserve">CD</t>
  </si>
  <si>
    <t xml:space="preserve">Cordon de brassage Cat. 6 — 1 m  —  CD-B06-01</t>
  </si>
  <si>
    <t xml:space="preserve">TE</t>
  </si>
  <si>
    <t xml:space="preserve">Tableau ou coffret électrique  —  TE-B06</t>
  </si>
  <si>
    <t xml:space="preserve">AL</t>
  </si>
  <si>
    <t xml:space="preserve">Départ d'alimentation  —  AL-B06-01</t>
  </si>
  <si>
    <t xml:space="preserve">DJ</t>
  </si>
  <si>
    <t xml:space="preserve">Disjoncteur de protection  —  DJ-B06-01</t>
  </si>
  <si>
    <t xml:space="preserve">ASE</t>
  </si>
  <si>
    <t xml:space="preserve">Alimentation de secours 12 V DC  —  ASE-B06-01</t>
  </si>
  <si>
    <t xml:space="preserve">SRV</t>
  </si>
  <si>
    <t xml:space="preserve">Serveur  —  SRV-01</t>
  </si>
  <si>
    <t xml:space="preserve">MODE D'EMPLOI</t>
  </si>
  <si>
    <t xml:space="preserve">Cellules sur fond jaune</t>
  </si>
  <si>
    <t xml:space="preserve">À renseigner sur site à l'achèvement des travaux.</t>
  </si>
  <si>
    <t xml:space="preserve">Cellules sur fond gris</t>
  </si>
  <si>
    <t xml:space="preserve">Repères pré-attribués — ne pas modifier.</t>
  </si>
  <si>
    <t xml:space="preserve">Ligne 3 de chaque onglet</t>
  </si>
  <si>
    <t xml:space="preserve">Exemple de saisie, au format attendu. À supprimer avant remise définitive.</t>
  </si>
  <si>
    <t xml:space="preserve">Onglet 05</t>
  </si>
  <si>
    <t xml:space="preserve">Récapitulatif calculé automatiquement. Aucune saisie.</t>
  </si>
  <si>
    <t xml:space="preserve">CONTRAINTES CONTRACTUELLES</t>
  </si>
  <si>
    <t xml:space="preserve">Longueur de lien</t>
  </si>
  <si>
    <t xml:space="preserve">Aucun lien permanent ne doit excéder 90 m (article 15 du CCTP).</t>
  </si>
  <si>
    <t xml:space="preserve">Certification</t>
  </si>
  <si>
    <t xml:space="preserve">Catégorie 6, configuration Permanent Link, ISO/IEC 11801 Classe E et ANSI/TIA/EIA-568.</t>
  </si>
  <si>
    <t xml:space="preserve">Résultat admis</t>
  </si>
  <si>
    <t xml:space="preserve">PASS uniquement. Tout lien FAIL est repris et retesté avant la réception.</t>
  </si>
  <si>
    <t xml:space="preserve">Autonomie de secours</t>
  </si>
  <si>
    <t xml:space="preserve">≥ 2 heures, vérifiée par coupure volontaire du secteur.</t>
  </si>
  <si>
    <t xml:space="preserve">01 — REGISTRE DES BLOCS ET DES POINTEUSES</t>
  </si>
  <si>
    <t xml:space="preserve">Bloc</t>
  </si>
  <si>
    <t xml:space="preserve">Site</t>
  </si>
  <si>
    <t xml:space="preserve">Services desservis</t>
  </si>
  <si>
    <t xml:space="preserve">Repère pointeuse</t>
  </si>
  <si>
    <t xml:space="preserve">Local / étage</t>
  </si>
  <si>
    <t xml:space="preserve">Marque</t>
  </si>
  <si>
    <t xml:space="preserve">Modèle</t>
  </si>
  <si>
    <t xml:space="preserve">N° de série</t>
  </si>
  <si>
    <t xml:space="preserve">Date mise en service</t>
  </si>
  <si>
    <t xml:space="preserve">Opérateur</t>
  </si>
  <si>
    <t xml:space="preserve">B00</t>
  </si>
  <si>
    <t xml:space="preserve">— EXEMPLE —</t>
  </si>
  <si>
    <t xml:space="preserve">exemple de saisie, à supprimer</t>
  </si>
  <si>
    <t xml:space="preserve">PTG-B00-01</t>
  </si>
  <si>
    <t xml:space="preserve">RDC — couloir principal</t>
  </si>
  <si>
    <t xml:space="preserve">ZKTeco</t>
  </si>
  <si>
    <t xml:space="preserve">SpeedFace-V5L</t>
  </si>
  <si>
    <t xml:space="preserve">7845xxxxxxx</t>
  </si>
  <si>
    <t xml:space="preserve">12/11/2026</t>
  </si>
  <si>
    <t xml:space="preserve">S. Smichi</t>
  </si>
  <si>
    <t xml:space="preserve">B01</t>
  </si>
  <si>
    <t xml:space="preserve">Direction générale</t>
  </si>
  <si>
    <t xml:space="preserve">Direction générale · Administration · Bureau des entrées</t>
  </si>
  <si>
    <t xml:space="preserve">PTG-B01-01</t>
  </si>
  <si>
    <t xml:space="preserve">B02</t>
  </si>
  <si>
    <t xml:space="preserve">Urgences</t>
  </si>
  <si>
    <t xml:space="preserve">PTG-B02-01</t>
  </si>
  <si>
    <t xml:space="preserve">B03</t>
  </si>
  <si>
    <t xml:space="preserve">Chirurgie B</t>
  </si>
  <si>
    <t xml:space="preserve">PTG-B03-01</t>
  </si>
  <si>
    <t xml:space="preserve">B04</t>
  </si>
  <si>
    <t xml:space="preserve">Maladies infectieuses</t>
  </si>
  <si>
    <t xml:space="preserve">Maladies infectieuses · Anesthésie Réa</t>
  </si>
  <si>
    <t xml:space="preserve">PTG-B04-01</t>
  </si>
  <si>
    <t xml:space="preserve">B05</t>
  </si>
  <si>
    <t xml:space="preserve">Microbiologie</t>
  </si>
  <si>
    <t xml:space="preserve">Microbiologie · Immunologie · Hématologie · Biochimie · Parasitologie</t>
  </si>
  <si>
    <t xml:space="preserve">PTG-B05-01</t>
  </si>
  <si>
    <t xml:space="preserve">B06</t>
  </si>
  <si>
    <t xml:space="preserve">Consultations externes</t>
  </si>
  <si>
    <t xml:space="preserve">Consultations externes · Salle des prélèvements · Pharmacie externe</t>
  </si>
  <si>
    <t xml:space="preserve">PTG-B06-01</t>
  </si>
  <si>
    <t xml:space="preserve">B07</t>
  </si>
  <si>
    <t xml:space="preserve">Gastro A</t>
  </si>
  <si>
    <t xml:space="preserve">PTG-B07-01</t>
  </si>
  <si>
    <t xml:space="preserve">B08</t>
  </si>
  <si>
    <t xml:space="preserve">Gastro B</t>
  </si>
  <si>
    <t xml:space="preserve">PTG-B08-01</t>
  </si>
  <si>
    <t xml:space="preserve">B09</t>
  </si>
  <si>
    <t xml:space="preserve">Endocrinologie</t>
  </si>
  <si>
    <t xml:space="preserve">Endocrinologie · Stomato Adulte</t>
  </si>
  <si>
    <t xml:space="preserve">PTG-B09-01</t>
  </si>
  <si>
    <t xml:space="preserve">B10</t>
  </si>
  <si>
    <t xml:space="preserve">Pneumologie</t>
  </si>
  <si>
    <t xml:space="preserve">PTG-B10-01</t>
  </si>
  <si>
    <t xml:space="preserve">B11</t>
  </si>
  <si>
    <t xml:space="preserve">Radiologie</t>
  </si>
  <si>
    <t xml:space="preserve">PTG-B11-01</t>
  </si>
  <si>
    <t xml:space="preserve">B12</t>
  </si>
  <si>
    <t xml:space="preserve">Réanimation médicale</t>
  </si>
  <si>
    <t xml:space="preserve">PTG-B12-01</t>
  </si>
  <si>
    <t xml:space="preserve">B13</t>
  </si>
  <si>
    <t xml:space="preserve">Maintenance biomédicale</t>
  </si>
  <si>
    <t xml:space="preserve">Maintenance biomédicale · Gestion de stock · Salle de conférence · Parc Auto · Buanderie</t>
  </si>
  <si>
    <t xml:space="preserve">PTG-B13-01</t>
  </si>
  <si>
    <t xml:space="preserve">B14</t>
  </si>
  <si>
    <t xml:space="preserve">Cardio Adulte</t>
  </si>
  <si>
    <t xml:space="preserve">PTG-B14-01</t>
  </si>
  <si>
    <t xml:space="preserve">B15</t>
  </si>
  <si>
    <t xml:space="preserve">Chirurgie cardio-vasculaire</t>
  </si>
  <si>
    <t xml:space="preserve">Chirurgie cardio-vasculaire · Cardio Pédiatrie</t>
  </si>
  <si>
    <t xml:space="preserve">PTG-B15-01</t>
  </si>
  <si>
    <t xml:space="preserve">B16</t>
  </si>
  <si>
    <t xml:space="preserve">Pharmacie interne</t>
  </si>
  <si>
    <t xml:space="preserve">PTG-B16-01</t>
  </si>
  <si>
    <t xml:space="preserve">B17</t>
  </si>
  <si>
    <t xml:space="preserve">Ophtalmologie</t>
  </si>
  <si>
    <t xml:space="preserve">PTG-B17-01</t>
  </si>
  <si>
    <t xml:space="preserve">B18</t>
  </si>
  <si>
    <t xml:space="preserve">Chirurgie A</t>
  </si>
  <si>
    <t xml:space="preserve">PTG-B18-01</t>
  </si>
  <si>
    <t xml:space="preserve">B19</t>
  </si>
  <si>
    <t xml:space="preserve">ORL</t>
  </si>
  <si>
    <t xml:space="preserve">ORL · Orthopédie</t>
  </si>
  <si>
    <t xml:space="preserve">PTG-B19-01</t>
  </si>
  <si>
    <t xml:space="preserve">B20</t>
  </si>
  <si>
    <t xml:space="preserve">Néphrologie</t>
  </si>
  <si>
    <t xml:space="preserve">Néphrologie · Urologie · Consultation Orthopédie</t>
  </si>
  <si>
    <t xml:space="preserve">PTG-B20-01</t>
  </si>
  <si>
    <t xml:space="preserve">B21</t>
  </si>
  <si>
    <t xml:space="preserve">Dermatologie</t>
  </si>
  <si>
    <t xml:space="preserve">Dermatologie · Pédiatrie</t>
  </si>
  <si>
    <t xml:space="preserve">PTG-B21-01</t>
  </si>
  <si>
    <t xml:space="preserve">B22</t>
  </si>
  <si>
    <t xml:space="preserve">Médecine interne</t>
  </si>
  <si>
    <t xml:space="preserve">Médecine interne · Anatomie pathologique · Consultation Rhumatologie</t>
  </si>
  <si>
    <t xml:space="preserve">PTG-B22-01</t>
  </si>
  <si>
    <t xml:space="preserve">B23</t>
  </si>
  <si>
    <t xml:space="preserve">Centre de traitement des douleurs</t>
  </si>
  <si>
    <t xml:space="preserve">Centre de traitement des douleurs · Médecine de travail</t>
  </si>
  <si>
    <t xml:space="preserve">PTG-B23-01</t>
  </si>
  <si>
    <t xml:space="preserve">B24</t>
  </si>
  <si>
    <t xml:space="preserve">Rhumatologie</t>
  </si>
  <si>
    <t xml:space="preserve">Rhumatologie · Stomato pedo</t>
  </si>
  <si>
    <t xml:space="preserve">PTG-B24-01</t>
  </si>
  <si>
    <t xml:space="preserve">B25</t>
  </si>
  <si>
    <t xml:space="preserve">Surveillant général</t>
  </si>
  <si>
    <t xml:space="preserve">Surveillant général · Maintenance générale</t>
  </si>
  <si>
    <t xml:space="preserve">PTG-B25-01</t>
  </si>
  <si>
    <t xml:space="preserve">02 — REGISTRE DES LIENS CUIVRE ET RÉSULTATS DE CERTIFICATION CAT. 6</t>
  </si>
  <si>
    <t xml:space="preserve">Repère lien</t>
  </si>
  <si>
    <t xml:space="preserve">Repère prise</t>
  </si>
  <si>
    <t xml:space="preserve">Panneau / port</t>
  </si>
  <si>
    <t xml:space="preserve">Commutateur / port</t>
  </si>
  <si>
    <t xml:space="preserve">Longueur mesurée (m)</t>
  </si>
  <si>
    <t xml:space="preserve">Marge NEXT (dB)</t>
  </si>
  <si>
    <t xml:space="preserve">Marge Return Loss (dB)</t>
  </si>
  <si>
    <t xml:space="preserve">Résultat</t>
  </si>
  <si>
    <t xml:space="preserve">Conformité longueur</t>
  </si>
  <si>
    <t xml:space="preserve">Date du test</t>
  </si>
  <si>
    <t xml:space="preserve">L-B00-01</t>
  </si>
  <si>
    <t xml:space="preserve">PR-B00-01</t>
  </si>
  <si>
    <t xml:space="preserve">LT-B00/BP1-P12</t>
  </si>
  <si>
    <t xml:space="preserve">SW-B00-01 / G1/0/12</t>
  </si>
  <si>
    <t xml:space="preserve">PASS</t>
  </si>
  <si>
    <t xml:space="preserve">10/11/2026</t>
  </si>
  <si>
    <t xml:space="preserve">L-B01-01</t>
  </si>
  <si>
    <t xml:space="preserve">PR-B01-01</t>
  </si>
  <si>
    <t xml:space="preserve">L-B02-01</t>
  </si>
  <si>
    <t xml:space="preserve">PR-B02-01</t>
  </si>
  <si>
    <t xml:space="preserve">L-B03-01</t>
  </si>
  <si>
    <t xml:space="preserve">PR-B03-01</t>
  </si>
  <si>
    <t xml:space="preserve">L-B04-01</t>
  </si>
  <si>
    <t xml:space="preserve">PR-B04-01</t>
  </si>
  <si>
    <t xml:space="preserve">L-B05-01</t>
  </si>
  <si>
    <t xml:space="preserve">PR-B05-01</t>
  </si>
  <si>
    <t xml:space="preserve">L-B06-01</t>
  </si>
  <si>
    <t xml:space="preserve">PR-B06-01</t>
  </si>
  <si>
    <t xml:space="preserve">L-B07-01</t>
  </si>
  <si>
    <t xml:space="preserve">PR-B07-01</t>
  </si>
  <si>
    <t xml:space="preserve">L-B08-01</t>
  </si>
  <si>
    <t xml:space="preserve">PR-B08-01</t>
  </si>
  <si>
    <t xml:space="preserve">L-B09-01</t>
  </si>
  <si>
    <t xml:space="preserve">PR-B09-01</t>
  </si>
  <si>
    <t xml:space="preserve">L-B10-01</t>
  </si>
  <si>
    <t xml:space="preserve">PR-B10-01</t>
  </si>
  <si>
    <t xml:space="preserve">L-B11-01</t>
  </si>
  <si>
    <t xml:space="preserve">PR-B11-01</t>
  </si>
  <si>
    <t xml:space="preserve">L-B12-01</t>
  </si>
  <si>
    <t xml:space="preserve">PR-B12-01</t>
  </si>
  <si>
    <t xml:space="preserve">L-B13-01</t>
  </si>
  <si>
    <t xml:space="preserve">PR-B13-01</t>
  </si>
  <si>
    <t xml:space="preserve">L-B14-01</t>
  </si>
  <si>
    <t xml:space="preserve">PR-B14-01</t>
  </si>
  <si>
    <t xml:space="preserve">L-B15-01</t>
  </si>
  <si>
    <t xml:space="preserve">PR-B15-01</t>
  </si>
  <si>
    <t xml:space="preserve">L-B16-01</t>
  </si>
  <si>
    <t xml:space="preserve">PR-B16-01</t>
  </si>
  <si>
    <t xml:space="preserve">L-B17-01</t>
  </si>
  <si>
    <t xml:space="preserve">PR-B17-01</t>
  </si>
  <si>
    <t xml:space="preserve">L-B18-01</t>
  </si>
  <si>
    <t xml:space="preserve">PR-B18-01</t>
  </si>
  <si>
    <t xml:space="preserve">L-B19-01</t>
  </si>
  <si>
    <t xml:space="preserve">PR-B19-01</t>
  </si>
  <si>
    <t xml:space="preserve">L-B20-01</t>
  </si>
  <si>
    <t xml:space="preserve">PR-B20-01</t>
  </si>
  <si>
    <t xml:space="preserve">L-B21-01</t>
  </si>
  <si>
    <t xml:space="preserve">PR-B21-01</t>
  </si>
  <si>
    <t xml:space="preserve">L-B22-01</t>
  </si>
  <si>
    <t xml:space="preserve">PR-B22-01</t>
  </si>
  <si>
    <t xml:space="preserve">L-B23-01</t>
  </si>
  <si>
    <t xml:space="preserve">PR-B23-01</t>
  </si>
  <si>
    <t xml:space="preserve">L-B24-01</t>
  </si>
  <si>
    <t xml:space="preserve">PR-B24-01</t>
  </si>
  <si>
    <t xml:space="preserve">L-B25-01</t>
  </si>
  <si>
    <t xml:space="preserve">PR-B25-01</t>
  </si>
  <si>
    <t xml:space="preserve">03 — REGISTRE DES ALIMENTATIONS ÉLECTRIQUES ET DE SECOURS</t>
  </si>
  <si>
    <t xml:space="preserve">Repère départ</t>
  </si>
  <si>
    <t xml:space="preserve">Tableau d'origine</t>
  </si>
  <si>
    <t xml:space="preserve">Repère disjoncteur</t>
  </si>
  <si>
    <t xml:space="preserve">Calibre / courbe</t>
  </si>
  <si>
    <t xml:space="preserve">Emplacement de reprise</t>
  </si>
  <si>
    <t xml:space="preserve">Repère alim. secours</t>
  </si>
  <si>
    <t xml:space="preserve">Autonomie relevée (h)</t>
  </si>
  <si>
    <t xml:space="preserve">Conformité ≥ 2 h</t>
  </si>
  <si>
    <t xml:space="preserve">Date d'essai</t>
  </si>
  <si>
    <t xml:space="preserve">AL-B00-01</t>
  </si>
  <si>
    <t xml:space="preserve">TE-B00</t>
  </si>
  <si>
    <t xml:space="preserve">DJ-B00-01</t>
  </si>
  <si>
    <t xml:space="preserve">10 A — courbe C</t>
  </si>
  <si>
    <t xml:space="preserve">Coffret divisionnaire couloir RDC, départ éclairage n° 4</t>
  </si>
  <si>
    <t xml:space="preserve">ASE-B00-01</t>
  </si>
  <si>
    <t xml:space="preserve">11/11/2026</t>
  </si>
  <si>
    <t xml:space="preserve">AL-B01-01</t>
  </si>
  <si>
    <t xml:space="preserve">DJ-B01-01</t>
  </si>
  <si>
    <t xml:space="preserve">ASE-B01-01</t>
  </si>
  <si>
    <t xml:space="preserve">AL-B02-01</t>
  </si>
  <si>
    <t xml:space="preserve">DJ-B02-01</t>
  </si>
  <si>
    <t xml:space="preserve">ASE-B02-01</t>
  </si>
  <si>
    <t xml:space="preserve">AL-B03-01</t>
  </si>
  <si>
    <t xml:space="preserve">DJ-B03-01</t>
  </si>
  <si>
    <t xml:space="preserve">ASE-B03-01</t>
  </si>
  <si>
    <t xml:space="preserve">AL-B04-01</t>
  </si>
  <si>
    <t xml:space="preserve">DJ-B04-01</t>
  </si>
  <si>
    <t xml:space="preserve">ASE-B04-01</t>
  </si>
  <si>
    <t xml:space="preserve">AL-B05-01</t>
  </si>
  <si>
    <t xml:space="preserve">DJ-B05-01</t>
  </si>
  <si>
    <t xml:space="preserve">ASE-B05-01</t>
  </si>
  <si>
    <t xml:space="preserve">AL-B06-01</t>
  </si>
  <si>
    <t xml:space="preserve">DJ-B06-01</t>
  </si>
  <si>
    <t xml:space="preserve">ASE-B06-01</t>
  </si>
  <si>
    <t xml:space="preserve">AL-B07-01</t>
  </si>
  <si>
    <t xml:space="preserve">DJ-B07-01</t>
  </si>
  <si>
    <t xml:space="preserve">ASE-B07-01</t>
  </si>
  <si>
    <t xml:space="preserve">AL-B08-01</t>
  </si>
  <si>
    <t xml:space="preserve">DJ-B08-01</t>
  </si>
  <si>
    <t xml:space="preserve">ASE-B08-01</t>
  </si>
  <si>
    <t xml:space="preserve">AL-B09-01</t>
  </si>
  <si>
    <t xml:space="preserve">DJ-B09-01</t>
  </si>
  <si>
    <t xml:space="preserve">ASE-B09-01</t>
  </si>
  <si>
    <t xml:space="preserve">AL-B10-01</t>
  </si>
  <si>
    <t xml:space="preserve">DJ-B10-01</t>
  </si>
  <si>
    <t xml:space="preserve">ASE-B10-01</t>
  </si>
  <si>
    <t xml:space="preserve">AL-B11-01</t>
  </si>
  <si>
    <t xml:space="preserve">DJ-B11-01</t>
  </si>
  <si>
    <t xml:space="preserve">ASE-B11-01</t>
  </si>
  <si>
    <t xml:space="preserve">AL-B12-01</t>
  </si>
  <si>
    <t xml:space="preserve">DJ-B12-01</t>
  </si>
  <si>
    <t xml:space="preserve">ASE-B12-01</t>
  </si>
  <si>
    <t xml:space="preserve">AL-B13-01</t>
  </si>
  <si>
    <t xml:space="preserve">DJ-B13-01</t>
  </si>
  <si>
    <t xml:space="preserve">ASE-B13-01</t>
  </si>
  <si>
    <t xml:space="preserve">AL-B14-01</t>
  </si>
  <si>
    <t xml:space="preserve">DJ-B14-01</t>
  </si>
  <si>
    <t xml:space="preserve">ASE-B14-01</t>
  </si>
  <si>
    <t xml:space="preserve">AL-B15-01</t>
  </si>
  <si>
    <t xml:space="preserve">DJ-B15-01</t>
  </si>
  <si>
    <t xml:space="preserve">ASE-B15-01</t>
  </si>
  <si>
    <t xml:space="preserve">AL-B16-01</t>
  </si>
  <si>
    <t xml:space="preserve">DJ-B16-01</t>
  </si>
  <si>
    <t xml:space="preserve">ASE-B16-01</t>
  </si>
  <si>
    <t xml:space="preserve">AL-B17-01</t>
  </si>
  <si>
    <t xml:space="preserve">DJ-B17-01</t>
  </si>
  <si>
    <t xml:space="preserve">ASE-B17-01</t>
  </si>
  <si>
    <t xml:space="preserve">AL-B18-01</t>
  </si>
  <si>
    <t xml:space="preserve">DJ-B18-01</t>
  </si>
  <si>
    <t xml:space="preserve">ASE-B18-01</t>
  </si>
  <si>
    <t xml:space="preserve">AL-B19-01</t>
  </si>
  <si>
    <t xml:space="preserve">DJ-B19-01</t>
  </si>
  <si>
    <t xml:space="preserve">ASE-B19-01</t>
  </si>
  <si>
    <t xml:space="preserve">AL-B20-01</t>
  </si>
  <si>
    <t xml:space="preserve">DJ-B20-01</t>
  </si>
  <si>
    <t xml:space="preserve">ASE-B20-01</t>
  </si>
  <si>
    <t xml:space="preserve">AL-B21-01</t>
  </si>
  <si>
    <t xml:space="preserve">DJ-B21-01</t>
  </si>
  <si>
    <t xml:space="preserve">ASE-B21-01</t>
  </si>
  <si>
    <t xml:space="preserve">AL-B22-01</t>
  </si>
  <si>
    <t xml:space="preserve">DJ-B22-01</t>
  </si>
  <si>
    <t xml:space="preserve">ASE-B22-01</t>
  </si>
  <si>
    <t xml:space="preserve">AL-B23-01</t>
  </si>
  <si>
    <t xml:space="preserve">DJ-B23-01</t>
  </si>
  <si>
    <t xml:space="preserve">ASE-B23-01</t>
  </si>
  <si>
    <t xml:space="preserve">AL-B24-01</t>
  </si>
  <si>
    <t xml:space="preserve">DJ-B24-01</t>
  </si>
  <si>
    <t xml:space="preserve">ASE-B24-01</t>
  </si>
  <si>
    <t xml:space="preserve">AL-B25-01</t>
  </si>
  <si>
    <t xml:space="preserve">DJ-B25-01</t>
  </si>
  <si>
    <t xml:space="preserve">ASE-B25-01</t>
  </si>
  <si>
    <t xml:space="preserve">04 — REGISTRE D'ADRESSAGE ET DE RACCORDEMENT RÉSEAU</t>
  </si>
  <si>
    <t xml:space="preserve">Adresse MAC</t>
  </si>
  <si>
    <t xml:space="preserve">Adresse IP</t>
  </si>
  <si>
    <t xml:space="preserve">Masque</t>
  </si>
  <si>
    <t xml:space="preserve">Passerelle</t>
  </si>
  <si>
    <t xml:space="preserve">VLAN</t>
  </si>
  <si>
    <t xml:space="preserve">Mode de collecte</t>
  </si>
  <si>
    <t xml:space="preserve">Date de synchronisation</t>
  </si>
  <si>
    <t xml:space="preserve">00:17:61:xx:xx:xx</t>
  </si>
  <si>
    <t xml:space="preserve">10.20.30.100</t>
  </si>
  <si>
    <t xml:space="preserve">255.255.255.0</t>
  </si>
  <si>
    <t xml:space="preserve">10.20.30.1</t>
  </si>
  <si>
    <t xml:space="preserve">30</t>
  </si>
  <si>
    <t xml:space="preserve">ADMS push</t>
  </si>
  <si>
    <t xml:space="preserve">05 — RÉCAPITULATIF — CALCULÉ AUTOMATIQUEMENT, AUCUNE SAISIE</t>
  </si>
  <si>
    <t xml:space="preserve">Pointeuses installées et mises en service</t>
  </si>
  <si>
    <t xml:space="preserve">Onglet 01, colonne « Date mise en service »</t>
  </si>
  <si>
    <t xml:space="preserve">Pointeuses restant à mettre en service</t>
  </si>
  <si>
    <t xml:space="preserve">Sur un total contractuel de 25</t>
  </si>
  <si>
    <t xml:space="preserve">Liens testés</t>
  </si>
  <si>
    <t xml:space="preserve">Onglet 02, colonne « Résultat »</t>
  </si>
  <si>
    <t xml:space="preserve">Liens conformes (PASS)</t>
  </si>
  <si>
    <t xml:space="preserve">Seul résultat admis à la réception</t>
  </si>
  <si>
    <t xml:space="preserve">Liens non conformes (FAIL)</t>
  </si>
  <si>
    <t xml:space="preserve">Doit être nul avant la réception provisoire</t>
  </si>
  <si>
    <t xml:space="preserve">Liens hors limite de longueur</t>
  </si>
  <si>
    <t xml:space="preserve">Limite 90 m — article 15 du CCTP</t>
  </si>
  <si>
    <t xml:space="preserve">Longueur maximale relevée (m)</t>
  </si>
  <si>
    <t xml:space="preserve">Doit rester ≤ 90 m</t>
  </si>
  <si>
    <t xml:space="preserve">Longueur totale de câble posée (m)</t>
  </si>
  <si>
    <t xml:space="preserve">Indicatif — hors réserve de tirage</t>
  </si>
  <si>
    <t xml:space="preserve">Alimentations de secours essayées</t>
  </si>
  <si>
    <t xml:space="preserve">Onglet 03, colonne « Autonomie relevée »</t>
  </si>
  <si>
    <t xml:space="preserve">Alimentations conformes (≥ 2 h)</t>
  </si>
  <si>
    <t xml:space="preserve">Exigence de la fiche N° 1</t>
  </si>
  <si>
    <t xml:space="preserve">Autonomie minimale relevée (h)</t>
  </si>
  <si>
    <t xml:space="preserve">Doit rester ≥ 2 h</t>
  </si>
  <si>
    <t xml:space="preserve">Pointeuses adressées sur le réseau</t>
  </si>
  <si>
    <t xml:space="preserve">Onglet 04, colonne « Adresse IP »</t>
  </si>
  <si>
    <t xml:space="preserve">VERDICT DE RECETTE</t>
  </si>
  <si>
    <t xml:space="preserve">Recevable si : 0 FAIL, 0 hors norme, 25 liens PASS, 25 alimentations conformes, 25 pointeuses adressées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</si>
</sst>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F2F2F2"/>
      </patternFill>
    </fill>
    <fill>
      <patternFill patternType="solid">
        <fgColor rgb="FFF2F2F2"/>
        <bgColor rgb="FFFFF9E6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FDF"/>
      </left>
      <right style="thin">
        <color rgb="FFBFCFDF"/>
      </right>
      <top style="thin">
        <color rgb="FFBFCFDF"/>
      </top>
      <bottom style="thin">
        <color rgb="FFBFCF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DEEAF6"/>
      <rgbColor rgb="FF660066"/>
      <rgbColor rgb="FFFF8080"/>
      <rgbColor rgb="FF0066CC"/>
      <rgbColor rgb="FFBFC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9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 t="s">
        <v>5</v>
      </c>
      <c r="C5" s="3" t="s">
        <v>6</v>
      </c>
    </row>
    <row r="6" customFormat="false" ht="15" hidden="false" customHeight="false" outlineLevel="0" collapsed="false">
      <c r="B6" s="2" t="s">
        <v>7</v>
      </c>
      <c r="C6" s="3" t="s">
        <v>8</v>
      </c>
    </row>
    <row r="8" customFormat="false" ht="15" hidden="false" customHeight="false" outlineLevel="0" collapsed="false">
      <c r="B8" s="4" t="s">
        <v>9</v>
      </c>
    </row>
    <row r="9" customFormat="false" ht="15" hidden="false" customHeight="false" outlineLevel="0" collapsed="false">
      <c r="B9" s="2" t="s">
        <v>10</v>
      </c>
      <c r="C9" s="3" t="s">
        <v>11</v>
      </c>
    </row>
    <row r="10" customFormat="false" ht="15" hidden="false" customHeight="false" outlineLevel="0" collapsed="false">
      <c r="B10" s="2" t="s">
        <v>12</v>
      </c>
      <c r="C10" s="3" t="s">
        <v>13</v>
      </c>
    </row>
    <row r="11" customFormat="false" ht="15" hidden="false" customHeight="false" outlineLevel="0" collapsed="false">
      <c r="B11" s="2" t="s">
        <v>14</v>
      </c>
      <c r="C11" s="3" t="s">
        <v>15</v>
      </c>
    </row>
    <row r="12" customFormat="false" ht="15" hidden="false" customHeight="false" outlineLevel="0" collapsed="false">
      <c r="B12" s="2" t="s">
        <v>16</v>
      </c>
      <c r="C12" s="3" t="s">
        <v>17</v>
      </c>
    </row>
    <row r="13" customFormat="false" ht="15" hidden="false" customHeight="false" outlineLevel="0" collapsed="false">
      <c r="B13" s="2" t="s">
        <v>18</v>
      </c>
      <c r="C13" s="3" t="s">
        <v>19</v>
      </c>
    </row>
    <row r="14" customFormat="false" ht="15" hidden="false" customHeight="false" outlineLevel="0" collapsed="false">
      <c r="B14" s="2" t="s">
        <v>20</v>
      </c>
      <c r="C14" s="3" t="s">
        <v>21</v>
      </c>
    </row>
    <row r="15" customFormat="false" ht="15" hidden="false" customHeight="false" outlineLevel="0" collapsed="false">
      <c r="B15" s="2" t="s">
        <v>22</v>
      </c>
      <c r="C15" s="3" t="s">
        <v>23</v>
      </c>
    </row>
    <row r="16" customFormat="false" ht="15" hidden="false" customHeight="false" outlineLevel="0" collapsed="false">
      <c r="B16" s="2" t="s">
        <v>24</v>
      </c>
      <c r="C16" s="3" t="s">
        <v>25</v>
      </c>
    </row>
    <row r="17" customFormat="false" ht="15" hidden="false" customHeight="false" outlineLevel="0" collapsed="false">
      <c r="B17" s="2" t="s">
        <v>26</v>
      </c>
      <c r="C17" s="3" t="s">
        <v>27</v>
      </c>
    </row>
    <row r="18" customFormat="false" ht="15" hidden="false" customHeight="false" outlineLevel="0" collapsed="false">
      <c r="B18" s="2" t="s">
        <v>28</v>
      </c>
      <c r="C18" s="3" t="s">
        <v>29</v>
      </c>
    </row>
    <row r="19" customFormat="false" ht="15" hidden="false" customHeight="false" outlineLevel="0" collapsed="false">
      <c r="B19" s="2" t="s">
        <v>30</v>
      </c>
      <c r="C19" s="3" t="s">
        <v>31</v>
      </c>
    </row>
    <row r="20" customFormat="false" ht="15" hidden="false" customHeight="false" outlineLevel="0" collapsed="false">
      <c r="B20" s="2" t="s">
        <v>32</v>
      </c>
      <c r="C20" s="3" t="s">
        <v>33</v>
      </c>
    </row>
    <row r="21" customFormat="false" ht="15" hidden="false" customHeight="false" outlineLevel="0" collapsed="false">
      <c r="B21" s="2" t="s">
        <v>34</v>
      </c>
      <c r="C21" s="3" t="s">
        <v>35</v>
      </c>
    </row>
    <row r="23" customFormat="false" ht="15" hidden="false" customHeight="false" outlineLevel="0" collapsed="false">
      <c r="B23" s="4" t="s">
        <v>36</v>
      </c>
    </row>
    <row r="24" customFormat="false" ht="15" hidden="false" customHeight="false" outlineLevel="0" collapsed="false">
      <c r="B24" s="2" t="s">
        <v>37</v>
      </c>
      <c r="C24" s="3" t="s">
        <v>38</v>
      </c>
    </row>
    <row r="25" customFormat="false" ht="15" hidden="false" customHeight="false" outlineLevel="0" collapsed="false">
      <c r="B25" s="2" t="s">
        <v>39</v>
      </c>
      <c r="C25" s="3" t="s">
        <v>40</v>
      </c>
    </row>
    <row r="26" customFormat="false" ht="15" hidden="false" customHeight="false" outlineLevel="0" collapsed="false">
      <c r="B26" s="2" t="s">
        <v>41</v>
      </c>
      <c r="C26" s="3" t="s">
        <v>42</v>
      </c>
    </row>
    <row r="27" customFormat="false" ht="15" hidden="false" customHeight="false" outlineLevel="0" collapsed="false">
      <c r="B27" s="2" t="s">
        <v>43</v>
      </c>
      <c r="C27" s="3" t="s">
        <v>44</v>
      </c>
    </row>
    <row r="29" customFormat="false" ht="15" hidden="false" customHeight="false" outlineLevel="0" collapsed="false">
      <c r="B29" s="4" t="s">
        <v>45</v>
      </c>
    </row>
    <row r="30" customFormat="false" ht="15" hidden="false" customHeight="false" outlineLevel="0" collapsed="false">
      <c r="B30" s="2" t="s">
        <v>46</v>
      </c>
      <c r="C30" s="3" t="s">
        <v>47</v>
      </c>
    </row>
    <row r="31" customFormat="false" ht="15" hidden="false" customHeight="false" outlineLevel="0" collapsed="false">
      <c r="B31" s="2" t="s">
        <v>48</v>
      </c>
      <c r="C31" s="3" t="s">
        <v>49</v>
      </c>
    </row>
    <row r="32" customFormat="false" ht="15" hidden="false" customHeight="false" outlineLevel="0" collapsed="false">
      <c r="B32" s="2" t="s">
        <v>50</v>
      </c>
      <c r="C32" s="3" t="s">
        <v>51</v>
      </c>
    </row>
    <row r="33" customFormat="false" ht="15" hidden="false" customHeight="false" outlineLevel="0" collapsed="false">
      <c r="B33" s="2" t="s">
        <v>52</v>
      </c>
      <c r="C33" s="3" t="s">
        <v>53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16"/>
  </cols>
  <sheetData>
    <row r="1" customFormat="false" ht="25.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3.75" hidden="false" customHeight="true" outlineLevel="0" collapsed="false">
      <c r="A2" s="5" t="s">
        <v>55</v>
      </c>
      <c r="B2" s="5" t="s">
        <v>56</v>
      </c>
      <c r="C2" s="5" t="s">
        <v>57</v>
      </c>
      <c r="D2" s="5" t="s">
        <v>58</v>
      </c>
      <c r="E2" s="5" t="s">
        <v>59</v>
      </c>
      <c r="F2" s="5" t="s">
        <v>60</v>
      </c>
      <c r="G2" s="5" t="s">
        <v>61</v>
      </c>
      <c r="H2" s="5" t="s">
        <v>62</v>
      </c>
      <c r="I2" s="5" t="s">
        <v>63</v>
      </c>
      <c r="J2" s="5" t="s">
        <v>64</v>
      </c>
    </row>
    <row r="3" customFormat="false" ht="15" hidden="false" customHeight="false" outlineLevel="0" collapsed="false">
      <c r="A3" s="6" t="s">
        <v>65</v>
      </c>
      <c r="B3" s="7" t="s">
        <v>66</v>
      </c>
      <c r="C3" s="7" t="s">
        <v>67</v>
      </c>
      <c r="D3" s="6" t="s">
        <v>68</v>
      </c>
      <c r="E3" s="7" t="s">
        <v>69</v>
      </c>
      <c r="F3" s="7" t="s">
        <v>70</v>
      </c>
      <c r="G3" s="7" t="s">
        <v>71</v>
      </c>
      <c r="H3" s="7" t="s">
        <v>72</v>
      </c>
      <c r="I3" s="8" t="s">
        <v>73</v>
      </c>
      <c r="J3" s="7" t="s">
        <v>74</v>
      </c>
    </row>
    <row r="4" customFormat="false" ht="25.5" hidden="false" customHeight="true" outlineLevel="0" collapsed="false">
      <c r="A4" s="9" t="s">
        <v>75</v>
      </c>
      <c r="B4" s="10" t="s">
        <v>76</v>
      </c>
      <c r="C4" s="11" t="s">
        <v>77</v>
      </c>
      <c r="D4" s="6" t="s">
        <v>78</v>
      </c>
      <c r="E4" s="7"/>
      <c r="F4" s="7"/>
      <c r="G4" s="7"/>
      <c r="H4" s="7"/>
      <c r="I4" s="7"/>
      <c r="J4" s="7"/>
    </row>
    <row r="5" customFormat="false" ht="25.5" hidden="false" customHeight="true" outlineLevel="0" collapsed="false">
      <c r="A5" s="9" t="s">
        <v>79</v>
      </c>
      <c r="B5" s="10" t="s">
        <v>80</v>
      </c>
      <c r="C5" s="11" t="s">
        <v>80</v>
      </c>
      <c r="D5" s="6" t="s">
        <v>81</v>
      </c>
      <c r="E5" s="7"/>
      <c r="F5" s="7"/>
      <c r="G5" s="7"/>
      <c r="H5" s="7"/>
      <c r="I5" s="7"/>
      <c r="J5" s="7"/>
    </row>
    <row r="6" customFormat="false" ht="25.5" hidden="false" customHeight="true" outlineLevel="0" collapsed="false">
      <c r="A6" s="9" t="s">
        <v>82</v>
      </c>
      <c r="B6" s="10" t="s">
        <v>83</v>
      </c>
      <c r="C6" s="11" t="s">
        <v>83</v>
      </c>
      <c r="D6" s="6" t="s">
        <v>84</v>
      </c>
      <c r="E6" s="7"/>
      <c r="F6" s="7"/>
      <c r="G6" s="7"/>
      <c r="H6" s="7"/>
      <c r="I6" s="7"/>
      <c r="J6" s="7"/>
    </row>
    <row r="7" customFormat="false" ht="25.5" hidden="false" customHeight="true" outlineLevel="0" collapsed="false">
      <c r="A7" s="9" t="s">
        <v>85</v>
      </c>
      <c r="B7" s="10" t="s">
        <v>86</v>
      </c>
      <c r="C7" s="11" t="s">
        <v>87</v>
      </c>
      <c r="D7" s="6" t="s">
        <v>88</v>
      </c>
      <c r="E7" s="7"/>
      <c r="F7" s="7"/>
      <c r="G7" s="7"/>
      <c r="H7" s="7"/>
      <c r="I7" s="7"/>
      <c r="J7" s="7"/>
    </row>
    <row r="8" customFormat="false" ht="25.5" hidden="false" customHeight="true" outlineLevel="0" collapsed="false">
      <c r="A8" s="9" t="s">
        <v>89</v>
      </c>
      <c r="B8" s="10" t="s">
        <v>90</v>
      </c>
      <c r="C8" s="11" t="s">
        <v>91</v>
      </c>
      <c r="D8" s="6" t="s">
        <v>92</v>
      </c>
      <c r="E8" s="7"/>
      <c r="F8" s="7"/>
      <c r="G8" s="7"/>
      <c r="H8" s="7"/>
      <c r="I8" s="7"/>
      <c r="J8" s="7"/>
    </row>
    <row r="9" customFormat="false" ht="25.5" hidden="false" customHeight="true" outlineLevel="0" collapsed="false">
      <c r="A9" s="9" t="s">
        <v>93</v>
      </c>
      <c r="B9" s="10" t="s">
        <v>94</v>
      </c>
      <c r="C9" s="11" t="s">
        <v>95</v>
      </c>
      <c r="D9" s="6" t="s">
        <v>96</v>
      </c>
      <c r="E9" s="7"/>
      <c r="F9" s="7"/>
      <c r="G9" s="7"/>
      <c r="H9" s="7"/>
      <c r="I9" s="7"/>
      <c r="J9" s="7"/>
    </row>
    <row r="10" customFormat="false" ht="25.5" hidden="false" customHeight="true" outlineLevel="0" collapsed="false">
      <c r="A10" s="9" t="s">
        <v>97</v>
      </c>
      <c r="B10" s="10" t="s">
        <v>98</v>
      </c>
      <c r="C10" s="11" t="s">
        <v>98</v>
      </c>
      <c r="D10" s="6" t="s">
        <v>99</v>
      </c>
      <c r="E10" s="7"/>
      <c r="F10" s="7"/>
      <c r="G10" s="7"/>
      <c r="H10" s="7"/>
      <c r="I10" s="7"/>
      <c r="J10" s="7"/>
    </row>
    <row r="11" customFormat="false" ht="25.5" hidden="false" customHeight="true" outlineLevel="0" collapsed="false">
      <c r="A11" s="9" t="s">
        <v>100</v>
      </c>
      <c r="B11" s="10" t="s">
        <v>101</v>
      </c>
      <c r="C11" s="11" t="s">
        <v>101</v>
      </c>
      <c r="D11" s="6" t="s">
        <v>102</v>
      </c>
      <c r="E11" s="7"/>
      <c r="F11" s="7"/>
      <c r="G11" s="7"/>
      <c r="H11" s="7"/>
      <c r="I11" s="7"/>
      <c r="J11" s="7"/>
    </row>
    <row r="12" customFormat="false" ht="25.5" hidden="false" customHeight="true" outlineLevel="0" collapsed="false">
      <c r="A12" s="9" t="s">
        <v>103</v>
      </c>
      <c r="B12" s="10" t="s">
        <v>104</v>
      </c>
      <c r="C12" s="11" t="s">
        <v>105</v>
      </c>
      <c r="D12" s="6" t="s">
        <v>106</v>
      </c>
      <c r="E12" s="7"/>
      <c r="F12" s="7"/>
      <c r="G12" s="7"/>
      <c r="H12" s="7"/>
      <c r="I12" s="7"/>
      <c r="J12" s="7"/>
    </row>
    <row r="13" customFormat="false" ht="25.5" hidden="false" customHeight="true" outlineLevel="0" collapsed="false">
      <c r="A13" s="9" t="s">
        <v>107</v>
      </c>
      <c r="B13" s="10" t="s">
        <v>108</v>
      </c>
      <c r="C13" s="11" t="s">
        <v>108</v>
      </c>
      <c r="D13" s="6" t="s">
        <v>109</v>
      </c>
      <c r="E13" s="7"/>
      <c r="F13" s="7"/>
      <c r="G13" s="7"/>
      <c r="H13" s="7"/>
      <c r="I13" s="7"/>
      <c r="J13" s="7"/>
    </row>
    <row r="14" customFormat="false" ht="25.5" hidden="false" customHeight="true" outlineLevel="0" collapsed="false">
      <c r="A14" s="9" t="s">
        <v>110</v>
      </c>
      <c r="B14" s="10" t="s">
        <v>111</v>
      </c>
      <c r="C14" s="11" t="s">
        <v>111</v>
      </c>
      <c r="D14" s="6" t="s">
        <v>112</v>
      </c>
      <c r="E14" s="7"/>
      <c r="F14" s="7"/>
      <c r="G14" s="7"/>
      <c r="H14" s="7"/>
      <c r="I14" s="7"/>
      <c r="J14" s="7"/>
    </row>
    <row r="15" customFormat="false" ht="25.5" hidden="false" customHeight="true" outlineLevel="0" collapsed="false">
      <c r="A15" s="9" t="s">
        <v>113</v>
      </c>
      <c r="B15" s="10" t="s">
        <v>114</v>
      </c>
      <c r="C15" s="11" t="s">
        <v>114</v>
      </c>
      <c r="D15" s="6" t="s">
        <v>115</v>
      </c>
      <c r="E15" s="7"/>
      <c r="F15" s="7"/>
      <c r="G15" s="7"/>
      <c r="H15" s="7"/>
      <c r="I15" s="7"/>
      <c r="J15" s="7"/>
    </row>
    <row r="16" customFormat="false" ht="25.5" hidden="false" customHeight="true" outlineLevel="0" collapsed="false">
      <c r="A16" s="9" t="s">
        <v>116</v>
      </c>
      <c r="B16" s="10" t="s">
        <v>117</v>
      </c>
      <c r="C16" s="11" t="s">
        <v>118</v>
      </c>
      <c r="D16" s="6" t="s">
        <v>119</v>
      </c>
      <c r="E16" s="7"/>
      <c r="F16" s="7"/>
      <c r="G16" s="7"/>
      <c r="H16" s="7"/>
      <c r="I16" s="7"/>
      <c r="J16" s="7"/>
    </row>
    <row r="17" customFormat="false" ht="25.5" hidden="false" customHeight="true" outlineLevel="0" collapsed="false">
      <c r="A17" s="9" t="s">
        <v>120</v>
      </c>
      <c r="B17" s="10" t="s">
        <v>121</v>
      </c>
      <c r="C17" s="11" t="s">
        <v>121</v>
      </c>
      <c r="D17" s="6" t="s">
        <v>122</v>
      </c>
      <c r="E17" s="7"/>
      <c r="F17" s="7"/>
      <c r="G17" s="7"/>
      <c r="H17" s="7"/>
      <c r="I17" s="7"/>
      <c r="J17" s="7"/>
    </row>
    <row r="18" customFormat="false" ht="25.5" hidden="false" customHeight="true" outlineLevel="0" collapsed="false">
      <c r="A18" s="9" t="s">
        <v>123</v>
      </c>
      <c r="B18" s="10" t="s">
        <v>124</v>
      </c>
      <c r="C18" s="11" t="s">
        <v>125</v>
      </c>
      <c r="D18" s="6" t="s">
        <v>126</v>
      </c>
      <c r="E18" s="7"/>
      <c r="F18" s="7"/>
      <c r="G18" s="7"/>
      <c r="H18" s="7"/>
      <c r="I18" s="7"/>
      <c r="J18" s="7"/>
    </row>
    <row r="19" customFormat="false" ht="25.5" hidden="false" customHeight="true" outlineLevel="0" collapsed="false">
      <c r="A19" s="9" t="s">
        <v>127</v>
      </c>
      <c r="B19" s="10" t="s">
        <v>128</v>
      </c>
      <c r="C19" s="11" t="s">
        <v>128</v>
      </c>
      <c r="D19" s="6" t="s">
        <v>129</v>
      </c>
      <c r="E19" s="7"/>
      <c r="F19" s="7"/>
      <c r="G19" s="7"/>
      <c r="H19" s="7"/>
      <c r="I19" s="7"/>
      <c r="J19" s="7"/>
    </row>
    <row r="20" customFormat="false" ht="25.5" hidden="false" customHeight="true" outlineLevel="0" collapsed="false">
      <c r="A20" s="9" t="s">
        <v>130</v>
      </c>
      <c r="B20" s="10" t="s">
        <v>131</v>
      </c>
      <c r="C20" s="11" t="s">
        <v>131</v>
      </c>
      <c r="D20" s="6" t="s">
        <v>132</v>
      </c>
      <c r="E20" s="7"/>
      <c r="F20" s="7"/>
      <c r="G20" s="7"/>
      <c r="H20" s="7"/>
      <c r="I20" s="7"/>
      <c r="J20" s="7"/>
    </row>
    <row r="21" customFormat="false" ht="25.5" hidden="false" customHeight="true" outlineLevel="0" collapsed="false">
      <c r="A21" s="9" t="s">
        <v>133</v>
      </c>
      <c r="B21" s="10" t="s">
        <v>134</v>
      </c>
      <c r="C21" s="11" t="s">
        <v>134</v>
      </c>
      <c r="D21" s="6" t="s">
        <v>135</v>
      </c>
      <c r="E21" s="7"/>
      <c r="F21" s="7"/>
      <c r="G21" s="7"/>
      <c r="H21" s="7"/>
      <c r="I21" s="7"/>
      <c r="J21" s="7"/>
    </row>
    <row r="22" customFormat="false" ht="25.5" hidden="false" customHeight="true" outlineLevel="0" collapsed="false">
      <c r="A22" s="9" t="s">
        <v>136</v>
      </c>
      <c r="B22" s="10" t="s">
        <v>137</v>
      </c>
      <c r="C22" s="11" t="s">
        <v>138</v>
      </c>
      <c r="D22" s="6" t="s">
        <v>139</v>
      </c>
      <c r="E22" s="7"/>
      <c r="F22" s="7"/>
      <c r="G22" s="7"/>
      <c r="H22" s="7"/>
      <c r="I22" s="7"/>
      <c r="J22" s="7"/>
    </row>
    <row r="23" customFormat="false" ht="25.5" hidden="false" customHeight="true" outlineLevel="0" collapsed="false">
      <c r="A23" s="9" t="s">
        <v>140</v>
      </c>
      <c r="B23" s="10" t="s">
        <v>141</v>
      </c>
      <c r="C23" s="11" t="s">
        <v>142</v>
      </c>
      <c r="D23" s="6" t="s">
        <v>143</v>
      </c>
      <c r="E23" s="7"/>
      <c r="F23" s="7"/>
      <c r="G23" s="7"/>
      <c r="H23" s="7"/>
      <c r="I23" s="7"/>
      <c r="J23" s="7"/>
    </row>
    <row r="24" customFormat="false" ht="25.5" hidden="false" customHeight="true" outlineLevel="0" collapsed="false">
      <c r="A24" s="9" t="s">
        <v>144</v>
      </c>
      <c r="B24" s="10" t="s">
        <v>145</v>
      </c>
      <c r="C24" s="11" t="s">
        <v>146</v>
      </c>
      <c r="D24" s="6" t="s">
        <v>147</v>
      </c>
      <c r="E24" s="7"/>
      <c r="F24" s="7"/>
      <c r="G24" s="7"/>
      <c r="H24" s="7"/>
      <c r="I24" s="7"/>
      <c r="J24" s="7"/>
    </row>
    <row r="25" customFormat="false" ht="25.5" hidden="false" customHeight="true" outlineLevel="0" collapsed="false">
      <c r="A25" s="9" t="s">
        <v>148</v>
      </c>
      <c r="B25" s="10" t="s">
        <v>149</v>
      </c>
      <c r="C25" s="11" t="s">
        <v>150</v>
      </c>
      <c r="D25" s="6" t="s">
        <v>151</v>
      </c>
      <c r="E25" s="7"/>
      <c r="F25" s="7"/>
      <c r="G25" s="7"/>
      <c r="H25" s="7"/>
      <c r="I25" s="7"/>
      <c r="J25" s="7"/>
    </row>
    <row r="26" customFormat="false" ht="25.5" hidden="false" customHeight="true" outlineLevel="0" collapsed="false">
      <c r="A26" s="9" t="s">
        <v>152</v>
      </c>
      <c r="B26" s="10" t="s">
        <v>153</v>
      </c>
      <c r="C26" s="11" t="s">
        <v>154</v>
      </c>
      <c r="D26" s="6" t="s">
        <v>155</v>
      </c>
      <c r="E26" s="7"/>
      <c r="F26" s="7"/>
      <c r="G26" s="7"/>
      <c r="H26" s="7"/>
      <c r="I26" s="7"/>
      <c r="J26" s="7"/>
    </row>
    <row r="27" customFormat="false" ht="25.5" hidden="false" customHeight="true" outlineLevel="0" collapsed="false">
      <c r="A27" s="9" t="s">
        <v>156</v>
      </c>
      <c r="B27" s="10" t="s">
        <v>157</v>
      </c>
      <c r="C27" s="11" t="s">
        <v>158</v>
      </c>
      <c r="D27" s="6" t="s">
        <v>159</v>
      </c>
      <c r="E27" s="7"/>
      <c r="F27" s="7"/>
      <c r="G27" s="7"/>
      <c r="H27" s="7"/>
      <c r="I27" s="7"/>
      <c r="J27" s="7"/>
    </row>
    <row r="28" customFormat="false" ht="25.5" hidden="false" customHeight="true" outlineLevel="0" collapsed="false">
      <c r="A28" s="9" t="s">
        <v>160</v>
      </c>
      <c r="B28" s="10" t="s">
        <v>161</v>
      </c>
      <c r="C28" s="11" t="s">
        <v>162</v>
      </c>
      <c r="D28" s="6" t="s">
        <v>163</v>
      </c>
      <c r="E28" s="7"/>
      <c r="F28" s="7"/>
      <c r="G28" s="7"/>
      <c r="H28" s="7"/>
      <c r="I28" s="7"/>
      <c r="J28" s="7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3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5"/>
  </cols>
  <sheetData>
    <row r="1" customFormat="false" ht="25.5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.75" hidden="false" customHeight="true" outlineLevel="0" collapsed="false">
      <c r="A2" s="5" t="s">
        <v>55</v>
      </c>
      <c r="B2" s="5" t="s">
        <v>165</v>
      </c>
      <c r="C2" s="5" t="s">
        <v>166</v>
      </c>
      <c r="D2" s="5" t="s">
        <v>167</v>
      </c>
      <c r="E2" s="5" t="s">
        <v>168</v>
      </c>
      <c r="F2" s="5" t="s">
        <v>169</v>
      </c>
      <c r="G2" s="5" t="s">
        <v>170</v>
      </c>
      <c r="H2" s="5" t="s">
        <v>171</v>
      </c>
      <c r="I2" s="5" t="s">
        <v>172</v>
      </c>
      <c r="J2" s="5" t="s">
        <v>173</v>
      </c>
      <c r="K2" s="5" t="s">
        <v>174</v>
      </c>
      <c r="L2" s="5" t="s">
        <v>64</v>
      </c>
    </row>
    <row r="3" customFormat="false" ht="15" hidden="false" customHeight="false" outlineLevel="0" collapsed="false">
      <c r="A3" s="6" t="s">
        <v>65</v>
      </c>
      <c r="B3" s="6" t="s">
        <v>175</v>
      </c>
      <c r="C3" s="6" t="s">
        <v>176</v>
      </c>
      <c r="D3" s="8" t="s">
        <v>177</v>
      </c>
      <c r="E3" s="7" t="s">
        <v>178</v>
      </c>
      <c r="F3" s="8" t="n">
        <v>62.4</v>
      </c>
      <c r="G3" s="8" t="n">
        <v>4.8</v>
      </c>
      <c r="H3" s="8" t="n">
        <v>3.1</v>
      </c>
      <c r="I3" s="12" t="s">
        <v>179</v>
      </c>
      <c r="J3" s="8" t="str">
        <f aca="false">IF(F3="","",IF(F3&lt;=90,"OK","HORS NORME"))</f>
        <v>OK</v>
      </c>
      <c r="K3" s="8" t="s">
        <v>180</v>
      </c>
      <c r="L3" s="7" t="s">
        <v>74</v>
      </c>
    </row>
    <row r="4" customFormat="false" ht="15" hidden="false" customHeight="false" outlineLevel="0" collapsed="false">
      <c r="A4" s="9" t="s">
        <v>75</v>
      </c>
      <c r="B4" s="6" t="s">
        <v>181</v>
      </c>
      <c r="C4" s="6" t="s">
        <v>182</v>
      </c>
      <c r="D4" s="7"/>
      <c r="E4" s="7"/>
      <c r="F4" s="8"/>
      <c r="G4" s="8"/>
      <c r="H4" s="8"/>
      <c r="I4" s="8"/>
      <c r="J4" s="13" t="str">
        <f aca="false">IF(F4="","",IF(F4&lt;=90,"OK","HORS NORME"))</f>
        <v/>
      </c>
      <c r="K4" s="8"/>
      <c r="L4" s="7"/>
    </row>
    <row r="5" customFormat="false" ht="15" hidden="false" customHeight="false" outlineLevel="0" collapsed="false">
      <c r="A5" s="9" t="s">
        <v>79</v>
      </c>
      <c r="B5" s="6" t="s">
        <v>183</v>
      </c>
      <c r="C5" s="6" t="s">
        <v>184</v>
      </c>
      <c r="D5" s="7"/>
      <c r="E5" s="7"/>
      <c r="F5" s="8"/>
      <c r="G5" s="8"/>
      <c r="H5" s="8"/>
      <c r="I5" s="8"/>
      <c r="J5" s="13" t="str">
        <f aca="false">IF(F5="","",IF(F5&lt;=90,"OK","HORS NORME"))</f>
        <v/>
      </c>
      <c r="K5" s="8"/>
      <c r="L5" s="7"/>
    </row>
    <row r="6" customFormat="false" ht="15" hidden="false" customHeight="false" outlineLevel="0" collapsed="false">
      <c r="A6" s="9" t="s">
        <v>82</v>
      </c>
      <c r="B6" s="6" t="s">
        <v>185</v>
      </c>
      <c r="C6" s="6" t="s">
        <v>186</v>
      </c>
      <c r="D6" s="7"/>
      <c r="E6" s="7"/>
      <c r="F6" s="8"/>
      <c r="G6" s="8"/>
      <c r="H6" s="8"/>
      <c r="I6" s="8"/>
      <c r="J6" s="13" t="str">
        <f aca="false">IF(F6="","",IF(F6&lt;=90,"OK","HORS NORME"))</f>
        <v/>
      </c>
      <c r="K6" s="8"/>
      <c r="L6" s="7"/>
    </row>
    <row r="7" customFormat="false" ht="15" hidden="false" customHeight="false" outlineLevel="0" collapsed="false">
      <c r="A7" s="9" t="s">
        <v>85</v>
      </c>
      <c r="B7" s="6" t="s">
        <v>187</v>
      </c>
      <c r="C7" s="6" t="s">
        <v>188</v>
      </c>
      <c r="D7" s="7"/>
      <c r="E7" s="7"/>
      <c r="F7" s="8"/>
      <c r="G7" s="8"/>
      <c r="H7" s="8"/>
      <c r="I7" s="8"/>
      <c r="J7" s="13" t="str">
        <f aca="false">IF(F7="","",IF(F7&lt;=90,"OK","HORS NORME"))</f>
        <v/>
      </c>
      <c r="K7" s="8"/>
      <c r="L7" s="7"/>
    </row>
    <row r="8" customFormat="false" ht="15" hidden="false" customHeight="false" outlineLevel="0" collapsed="false">
      <c r="A8" s="9" t="s">
        <v>89</v>
      </c>
      <c r="B8" s="6" t="s">
        <v>189</v>
      </c>
      <c r="C8" s="6" t="s">
        <v>190</v>
      </c>
      <c r="D8" s="7"/>
      <c r="E8" s="7"/>
      <c r="F8" s="8"/>
      <c r="G8" s="8"/>
      <c r="H8" s="8"/>
      <c r="I8" s="8"/>
      <c r="J8" s="13" t="str">
        <f aca="false">IF(F8="","",IF(F8&lt;=90,"OK","HORS NORME"))</f>
        <v/>
      </c>
      <c r="K8" s="8"/>
      <c r="L8" s="7"/>
    </row>
    <row r="9" customFormat="false" ht="15" hidden="false" customHeight="false" outlineLevel="0" collapsed="false">
      <c r="A9" s="9" t="s">
        <v>93</v>
      </c>
      <c r="B9" s="6" t="s">
        <v>191</v>
      </c>
      <c r="C9" s="6" t="s">
        <v>192</v>
      </c>
      <c r="D9" s="7"/>
      <c r="E9" s="7"/>
      <c r="F9" s="8"/>
      <c r="G9" s="8"/>
      <c r="H9" s="8"/>
      <c r="I9" s="8"/>
      <c r="J9" s="13" t="str">
        <f aca="false">IF(F9="","",IF(F9&lt;=90,"OK","HORS NORME"))</f>
        <v/>
      </c>
      <c r="K9" s="8"/>
      <c r="L9" s="7"/>
    </row>
    <row r="10" customFormat="false" ht="15" hidden="false" customHeight="false" outlineLevel="0" collapsed="false">
      <c r="A10" s="9" t="s">
        <v>97</v>
      </c>
      <c r="B10" s="6" t="s">
        <v>193</v>
      </c>
      <c r="C10" s="6" t="s">
        <v>194</v>
      </c>
      <c r="D10" s="7"/>
      <c r="E10" s="7"/>
      <c r="F10" s="8"/>
      <c r="G10" s="8"/>
      <c r="H10" s="8"/>
      <c r="I10" s="8"/>
      <c r="J10" s="13" t="str">
        <f aca="false">IF(F10="","",IF(F10&lt;=90,"OK","HORS NORME"))</f>
        <v/>
      </c>
      <c r="K10" s="8"/>
      <c r="L10" s="7"/>
    </row>
    <row r="11" customFormat="false" ht="15" hidden="false" customHeight="false" outlineLevel="0" collapsed="false">
      <c r="A11" s="9" t="s">
        <v>100</v>
      </c>
      <c r="B11" s="6" t="s">
        <v>195</v>
      </c>
      <c r="C11" s="6" t="s">
        <v>196</v>
      </c>
      <c r="D11" s="7"/>
      <c r="E11" s="7"/>
      <c r="F11" s="8"/>
      <c r="G11" s="8"/>
      <c r="H11" s="8"/>
      <c r="I11" s="8"/>
      <c r="J11" s="13" t="str">
        <f aca="false">IF(F11="","",IF(F11&lt;=90,"OK","HORS NORME"))</f>
        <v/>
      </c>
      <c r="K11" s="8"/>
      <c r="L11" s="7"/>
    </row>
    <row r="12" customFormat="false" ht="15" hidden="false" customHeight="false" outlineLevel="0" collapsed="false">
      <c r="A12" s="9" t="s">
        <v>103</v>
      </c>
      <c r="B12" s="6" t="s">
        <v>197</v>
      </c>
      <c r="C12" s="6" t="s">
        <v>198</v>
      </c>
      <c r="D12" s="7"/>
      <c r="E12" s="7"/>
      <c r="F12" s="8"/>
      <c r="G12" s="8"/>
      <c r="H12" s="8"/>
      <c r="I12" s="8"/>
      <c r="J12" s="13" t="str">
        <f aca="false">IF(F12="","",IF(F12&lt;=90,"OK","HORS NORME"))</f>
        <v/>
      </c>
      <c r="K12" s="8"/>
      <c r="L12" s="7"/>
    </row>
    <row r="13" customFormat="false" ht="15" hidden="false" customHeight="false" outlineLevel="0" collapsed="false">
      <c r="A13" s="9" t="s">
        <v>107</v>
      </c>
      <c r="B13" s="6" t="s">
        <v>199</v>
      </c>
      <c r="C13" s="6" t="s">
        <v>200</v>
      </c>
      <c r="D13" s="7"/>
      <c r="E13" s="7"/>
      <c r="F13" s="8"/>
      <c r="G13" s="8"/>
      <c r="H13" s="8"/>
      <c r="I13" s="8"/>
      <c r="J13" s="13" t="str">
        <f aca="false">IF(F13="","",IF(F13&lt;=90,"OK","HORS NORME"))</f>
        <v/>
      </c>
      <c r="K13" s="8"/>
      <c r="L13" s="7"/>
    </row>
    <row r="14" customFormat="false" ht="15" hidden="false" customHeight="false" outlineLevel="0" collapsed="false">
      <c r="A14" s="9" t="s">
        <v>110</v>
      </c>
      <c r="B14" s="6" t="s">
        <v>201</v>
      </c>
      <c r="C14" s="6" t="s">
        <v>202</v>
      </c>
      <c r="D14" s="7"/>
      <c r="E14" s="7"/>
      <c r="F14" s="8"/>
      <c r="G14" s="8"/>
      <c r="H14" s="8"/>
      <c r="I14" s="8"/>
      <c r="J14" s="13" t="str">
        <f aca="false">IF(F14="","",IF(F14&lt;=90,"OK","HORS NORME"))</f>
        <v/>
      </c>
      <c r="K14" s="8"/>
      <c r="L14" s="7"/>
    </row>
    <row r="15" customFormat="false" ht="15" hidden="false" customHeight="false" outlineLevel="0" collapsed="false">
      <c r="A15" s="9" t="s">
        <v>113</v>
      </c>
      <c r="B15" s="6" t="s">
        <v>203</v>
      </c>
      <c r="C15" s="6" t="s">
        <v>204</v>
      </c>
      <c r="D15" s="7"/>
      <c r="E15" s="7"/>
      <c r="F15" s="8"/>
      <c r="G15" s="8"/>
      <c r="H15" s="8"/>
      <c r="I15" s="8"/>
      <c r="J15" s="13" t="str">
        <f aca="false">IF(F15="","",IF(F15&lt;=90,"OK","HORS NORME"))</f>
        <v/>
      </c>
      <c r="K15" s="8"/>
      <c r="L15" s="7"/>
    </row>
    <row r="16" customFormat="false" ht="15" hidden="false" customHeight="false" outlineLevel="0" collapsed="false">
      <c r="A16" s="9" t="s">
        <v>116</v>
      </c>
      <c r="B16" s="6" t="s">
        <v>205</v>
      </c>
      <c r="C16" s="6" t="s">
        <v>206</v>
      </c>
      <c r="D16" s="7"/>
      <c r="E16" s="7"/>
      <c r="F16" s="8"/>
      <c r="G16" s="8"/>
      <c r="H16" s="8"/>
      <c r="I16" s="8"/>
      <c r="J16" s="13" t="str">
        <f aca="false">IF(F16="","",IF(F16&lt;=90,"OK","HORS NORME"))</f>
        <v/>
      </c>
      <c r="K16" s="8"/>
      <c r="L16" s="7"/>
    </row>
    <row r="17" customFormat="false" ht="15" hidden="false" customHeight="false" outlineLevel="0" collapsed="false">
      <c r="A17" s="9" t="s">
        <v>120</v>
      </c>
      <c r="B17" s="6" t="s">
        <v>207</v>
      </c>
      <c r="C17" s="6" t="s">
        <v>208</v>
      </c>
      <c r="D17" s="7"/>
      <c r="E17" s="7"/>
      <c r="F17" s="8"/>
      <c r="G17" s="8"/>
      <c r="H17" s="8"/>
      <c r="I17" s="8"/>
      <c r="J17" s="13" t="str">
        <f aca="false">IF(F17="","",IF(F17&lt;=90,"OK","HORS NORME"))</f>
        <v/>
      </c>
      <c r="K17" s="8"/>
      <c r="L17" s="7"/>
    </row>
    <row r="18" customFormat="false" ht="15" hidden="false" customHeight="false" outlineLevel="0" collapsed="false">
      <c r="A18" s="9" t="s">
        <v>123</v>
      </c>
      <c r="B18" s="6" t="s">
        <v>209</v>
      </c>
      <c r="C18" s="6" t="s">
        <v>210</v>
      </c>
      <c r="D18" s="7"/>
      <c r="E18" s="7"/>
      <c r="F18" s="8"/>
      <c r="G18" s="8"/>
      <c r="H18" s="8"/>
      <c r="I18" s="8"/>
      <c r="J18" s="13" t="str">
        <f aca="false">IF(F18="","",IF(F18&lt;=90,"OK","HORS NORME"))</f>
        <v/>
      </c>
      <c r="K18" s="8"/>
      <c r="L18" s="7"/>
    </row>
    <row r="19" customFormat="false" ht="15" hidden="false" customHeight="false" outlineLevel="0" collapsed="false">
      <c r="A19" s="9" t="s">
        <v>127</v>
      </c>
      <c r="B19" s="6" t="s">
        <v>211</v>
      </c>
      <c r="C19" s="6" t="s">
        <v>212</v>
      </c>
      <c r="D19" s="7"/>
      <c r="E19" s="7"/>
      <c r="F19" s="8"/>
      <c r="G19" s="8"/>
      <c r="H19" s="8"/>
      <c r="I19" s="8"/>
      <c r="J19" s="13" t="str">
        <f aca="false">IF(F19="","",IF(F19&lt;=90,"OK","HORS NORME"))</f>
        <v/>
      </c>
      <c r="K19" s="8"/>
      <c r="L19" s="7"/>
    </row>
    <row r="20" customFormat="false" ht="15" hidden="false" customHeight="false" outlineLevel="0" collapsed="false">
      <c r="A20" s="9" t="s">
        <v>130</v>
      </c>
      <c r="B20" s="6" t="s">
        <v>213</v>
      </c>
      <c r="C20" s="6" t="s">
        <v>214</v>
      </c>
      <c r="D20" s="7"/>
      <c r="E20" s="7"/>
      <c r="F20" s="8"/>
      <c r="G20" s="8"/>
      <c r="H20" s="8"/>
      <c r="I20" s="8"/>
      <c r="J20" s="13" t="str">
        <f aca="false">IF(F20="","",IF(F20&lt;=90,"OK","HORS NORME"))</f>
        <v/>
      </c>
      <c r="K20" s="8"/>
      <c r="L20" s="7"/>
    </row>
    <row r="21" customFormat="false" ht="15" hidden="false" customHeight="false" outlineLevel="0" collapsed="false">
      <c r="A21" s="9" t="s">
        <v>133</v>
      </c>
      <c r="B21" s="6" t="s">
        <v>215</v>
      </c>
      <c r="C21" s="6" t="s">
        <v>216</v>
      </c>
      <c r="D21" s="7"/>
      <c r="E21" s="7"/>
      <c r="F21" s="8"/>
      <c r="G21" s="8"/>
      <c r="H21" s="8"/>
      <c r="I21" s="8"/>
      <c r="J21" s="13" t="str">
        <f aca="false">IF(F21="","",IF(F21&lt;=90,"OK","HORS NORME"))</f>
        <v/>
      </c>
      <c r="K21" s="8"/>
      <c r="L21" s="7"/>
    </row>
    <row r="22" customFormat="false" ht="15" hidden="false" customHeight="false" outlineLevel="0" collapsed="false">
      <c r="A22" s="9" t="s">
        <v>136</v>
      </c>
      <c r="B22" s="6" t="s">
        <v>217</v>
      </c>
      <c r="C22" s="6" t="s">
        <v>218</v>
      </c>
      <c r="D22" s="7"/>
      <c r="E22" s="7"/>
      <c r="F22" s="8"/>
      <c r="G22" s="8"/>
      <c r="H22" s="8"/>
      <c r="I22" s="8"/>
      <c r="J22" s="13" t="str">
        <f aca="false">IF(F22="","",IF(F22&lt;=90,"OK","HORS NORME"))</f>
        <v/>
      </c>
      <c r="K22" s="8"/>
      <c r="L22" s="7"/>
    </row>
    <row r="23" customFormat="false" ht="15" hidden="false" customHeight="false" outlineLevel="0" collapsed="false">
      <c r="A23" s="9" t="s">
        <v>140</v>
      </c>
      <c r="B23" s="6" t="s">
        <v>219</v>
      </c>
      <c r="C23" s="6" t="s">
        <v>220</v>
      </c>
      <c r="D23" s="7"/>
      <c r="E23" s="7"/>
      <c r="F23" s="8"/>
      <c r="G23" s="8"/>
      <c r="H23" s="8"/>
      <c r="I23" s="8"/>
      <c r="J23" s="13" t="str">
        <f aca="false">IF(F23="","",IF(F23&lt;=90,"OK","HORS NORME"))</f>
        <v/>
      </c>
      <c r="K23" s="8"/>
      <c r="L23" s="7"/>
    </row>
    <row r="24" customFormat="false" ht="15" hidden="false" customHeight="false" outlineLevel="0" collapsed="false">
      <c r="A24" s="9" t="s">
        <v>144</v>
      </c>
      <c r="B24" s="6" t="s">
        <v>221</v>
      </c>
      <c r="C24" s="6" t="s">
        <v>222</v>
      </c>
      <c r="D24" s="7"/>
      <c r="E24" s="7"/>
      <c r="F24" s="8"/>
      <c r="G24" s="8"/>
      <c r="H24" s="8"/>
      <c r="I24" s="8"/>
      <c r="J24" s="13" t="str">
        <f aca="false">IF(F24="","",IF(F24&lt;=90,"OK","HORS NORME"))</f>
        <v/>
      </c>
      <c r="K24" s="8"/>
      <c r="L24" s="7"/>
    </row>
    <row r="25" customFormat="false" ht="15" hidden="false" customHeight="false" outlineLevel="0" collapsed="false">
      <c r="A25" s="9" t="s">
        <v>148</v>
      </c>
      <c r="B25" s="6" t="s">
        <v>223</v>
      </c>
      <c r="C25" s="6" t="s">
        <v>224</v>
      </c>
      <c r="D25" s="7"/>
      <c r="E25" s="7"/>
      <c r="F25" s="8"/>
      <c r="G25" s="8"/>
      <c r="H25" s="8"/>
      <c r="I25" s="8"/>
      <c r="J25" s="13" t="str">
        <f aca="false">IF(F25="","",IF(F25&lt;=90,"OK","HORS NORME"))</f>
        <v/>
      </c>
      <c r="K25" s="8"/>
      <c r="L25" s="7"/>
    </row>
    <row r="26" customFormat="false" ht="15" hidden="false" customHeight="false" outlineLevel="0" collapsed="false">
      <c r="A26" s="9" t="s">
        <v>152</v>
      </c>
      <c r="B26" s="6" t="s">
        <v>225</v>
      </c>
      <c r="C26" s="6" t="s">
        <v>226</v>
      </c>
      <c r="D26" s="7"/>
      <c r="E26" s="7"/>
      <c r="F26" s="8"/>
      <c r="G26" s="8"/>
      <c r="H26" s="8"/>
      <c r="I26" s="8"/>
      <c r="J26" s="13" t="str">
        <f aca="false">IF(F26="","",IF(F26&lt;=90,"OK","HORS NORME"))</f>
        <v/>
      </c>
      <c r="K26" s="8"/>
      <c r="L26" s="7"/>
    </row>
    <row r="27" customFormat="false" ht="15" hidden="false" customHeight="false" outlineLevel="0" collapsed="false">
      <c r="A27" s="9" t="s">
        <v>156</v>
      </c>
      <c r="B27" s="6" t="s">
        <v>227</v>
      </c>
      <c r="C27" s="6" t="s">
        <v>228</v>
      </c>
      <c r="D27" s="7"/>
      <c r="E27" s="7"/>
      <c r="F27" s="8"/>
      <c r="G27" s="8"/>
      <c r="H27" s="8"/>
      <c r="I27" s="8"/>
      <c r="J27" s="13" t="str">
        <f aca="false">IF(F27="","",IF(F27&lt;=90,"OK","HORS NORME"))</f>
        <v/>
      </c>
      <c r="K27" s="8"/>
      <c r="L27" s="7"/>
    </row>
    <row r="28" customFormat="false" ht="15" hidden="false" customHeight="false" outlineLevel="0" collapsed="false">
      <c r="A28" s="9" t="s">
        <v>160</v>
      </c>
      <c r="B28" s="6" t="s">
        <v>229</v>
      </c>
      <c r="C28" s="6" t="s">
        <v>230</v>
      </c>
      <c r="D28" s="7"/>
      <c r="E28" s="7"/>
      <c r="F28" s="8"/>
      <c r="G28" s="8"/>
      <c r="H28" s="8"/>
      <c r="I28" s="8"/>
      <c r="J28" s="13" t="str">
        <f aca="false">IF(F28="","",IF(F28&lt;=90,"OK","HORS NORME"))</f>
        <v/>
      </c>
      <c r="K28" s="8"/>
      <c r="L28" s="7"/>
    </row>
  </sheetData>
  <mergeCells count="1">
    <mergeCell ref="A1:L1"/>
  </mergeCells>
  <dataValidations count="1">
    <dataValidation allowBlank="true" error="Seules les valeurs PASS et FAIL sont admises." errorStyle="stop" errorTitle="Valeur non admise" operator="between" showDropDown="false" showErrorMessage="false" showInputMessage="false" sqref="I4:I28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3"/>
  </cols>
  <sheetData>
    <row r="1" customFormat="false" ht="25.5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3.75" hidden="false" customHeight="true" outlineLevel="0" collapsed="false">
      <c r="A2" s="5" t="s">
        <v>55</v>
      </c>
      <c r="B2" s="5" t="s">
        <v>232</v>
      </c>
      <c r="C2" s="5" t="s">
        <v>233</v>
      </c>
      <c r="D2" s="5" t="s">
        <v>234</v>
      </c>
      <c r="E2" s="5" t="s">
        <v>235</v>
      </c>
      <c r="F2" s="5" t="s">
        <v>236</v>
      </c>
      <c r="G2" s="5" t="s">
        <v>237</v>
      </c>
      <c r="H2" s="5" t="s">
        <v>238</v>
      </c>
      <c r="I2" s="5" t="s">
        <v>239</v>
      </c>
      <c r="J2" s="5" t="s">
        <v>240</v>
      </c>
    </row>
    <row r="3" customFormat="false" ht="15" hidden="false" customHeight="false" outlineLevel="0" collapsed="false">
      <c r="A3" s="6" t="s">
        <v>65</v>
      </c>
      <c r="B3" s="6" t="s">
        <v>241</v>
      </c>
      <c r="C3" s="8" t="s">
        <v>242</v>
      </c>
      <c r="D3" s="6" t="s">
        <v>243</v>
      </c>
      <c r="E3" s="8" t="s">
        <v>244</v>
      </c>
      <c r="F3" s="7" t="s">
        <v>245</v>
      </c>
      <c r="G3" s="6" t="s">
        <v>246</v>
      </c>
      <c r="H3" s="8" t="n">
        <v>2.4</v>
      </c>
      <c r="I3" s="13" t="str">
        <f aca="false">IF(H3="","",IF(H3&gt;=2,"CONFORME","NON CONFORME"))</f>
        <v>CONFORME</v>
      </c>
      <c r="J3" s="8" t="s">
        <v>247</v>
      </c>
    </row>
    <row r="4" customFormat="false" ht="15" hidden="false" customHeight="false" outlineLevel="0" collapsed="false">
      <c r="A4" s="9" t="s">
        <v>75</v>
      </c>
      <c r="B4" s="6" t="s">
        <v>248</v>
      </c>
      <c r="C4" s="8"/>
      <c r="D4" s="6" t="s">
        <v>249</v>
      </c>
      <c r="E4" s="8"/>
      <c r="F4" s="7"/>
      <c r="G4" s="6" t="s">
        <v>250</v>
      </c>
      <c r="H4" s="8"/>
      <c r="I4" s="13" t="str">
        <f aca="false">IF(H4="","",IF(H4&gt;=2,"CONFORME","NON CONFORME"))</f>
        <v/>
      </c>
      <c r="J4" s="8"/>
    </row>
    <row r="5" customFormat="false" ht="15" hidden="false" customHeight="false" outlineLevel="0" collapsed="false">
      <c r="A5" s="9" t="s">
        <v>79</v>
      </c>
      <c r="B5" s="6" t="s">
        <v>251</v>
      </c>
      <c r="C5" s="8"/>
      <c r="D5" s="6" t="s">
        <v>252</v>
      </c>
      <c r="E5" s="8"/>
      <c r="F5" s="7"/>
      <c r="G5" s="6" t="s">
        <v>253</v>
      </c>
      <c r="H5" s="8"/>
      <c r="I5" s="13" t="str">
        <f aca="false">IF(H5="","",IF(H5&gt;=2,"CONFORME","NON CONFORME"))</f>
        <v/>
      </c>
      <c r="J5" s="8"/>
    </row>
    <row r="6" customFormat="false" ht="15" hidden="false" customHeight="false" outlineLevel="0" collapsed="false">
      <c r="A6" s="9" t="s">
        <v>82</v>
      </c>
      <c r="B6" s="6" t="s">
        <v>254</v>
      </c>
      <c r="C6" s="8"/>
      <c r="D6" s="6" t="s">
        <v>255</v>
      </c>
      <c r="E6" s="8"/>
      <c r="F6" s="7"/>
      <c r="G6" s="6" t="s">
        <v>256</v>
      </c>
      <c r="H6" s="8"/>
      <c r="I6" s="13" t="str">
        <f aca="false">IF(H6="","",IF(H6&gt;=2,"CONFORME","NON CONFORME"))</f>
        <v/>
      </c>
      <c r="J6" s="8"/>
    </row>
    <row r="7" customFormat="false" ht="15" hidden="false" customHeight="false" outlineLevel="0" collapsed="false">
      <c r="A7" s="9" t="s">
        <v>85</v>
      </c>
      <c r="B7" s="6" t="s">
        <v>257</v>
      </c>
      <c r="C7" s="8"/>
      <c r="D7" s="6" t="s">
        <v>258</v>
      </c>
      <c r="E7" s="8"/>
      <c r="F7" s="7"/>
      <c r="G7" s="6" t="s">
        <v>259</v>
      </c>
      <c r="H7" s="8"/>
      <c r="I7" s="13" t="str">
        <f aca="false">IF(H7="","",IF(H7&gt;=2,"CONFORME","NON CONFORME"))</f>
        <v/>
      </c>
      <c r="J7" s="8"/>
    </row>
    <row r="8" customFormat="false" ht="15" hidden="false" customHeight="false" outlineLevel="0" collapsed="false">
      <c r="A8" s="9" t="s">
        <v>89</v>
      </c>
      <c r="B8" s="6" t="s">
        <v>260</v>
      </c>
      <c r="C8" s="8"/>
      <c r="D8" s="6" t="s">
        <v>261</v>
      </c>
      <c r="E8" s="8"/>
      <c r="F8" s="7"/>
      <c r="G8" s="6" t="s">
        <v>262</v>
      </c>
      <c r="H8" s="8"/>
      <c r="I8" s="13" t="str">
        <f aca="false">IF(H8="","",IF(H8&gt;=2,"CONFORME","NON CONFORME"))</f>
        <v/>
      </c>
      <c r="J8" s="8"/>
    </row>
    <row r="9" customFormat="false" ht="15" hidden="false" customHeight="false" outlineLevel="0" collapsed="false">
      <c r="A9" s="9" t="s">
        <v>93</v>
      </c>
      <c r="B9" s="6" t="s">
        <v>263</v>
      </c>
      <c r="C9" s="8"/>
      <c r="D9" s="6" t="s">
        <v>264</v>
      </c>
      <c r="E9" s="8"/>
      <c r="F9" s="7"/>
      <c r="G9" s="6" t="s">
        <v>265</v>
      </c>
      <c r="H9" s="8"/>
      <c r="I9" s="13" t="str">
        <f aca="false">IF(H9="","",IF(H9&gt;=2,"CONFORME","NON CONFORME"))</f>
        <v/>
      </c>
      <c r="J9" s="8"/>
    </row>
    <row r="10" customFormat="false" ht="15" hidden="false" customHeight="false" outlineLevel="0" collapsed="false">
      <c r="A10" s="9" t="s">
        <v>97</v>
      </c>
      <c r="B10" s="6" t="s">
        <v>266</v>
      </c>
      <c r="C10" s="8"/>
      <c r="D10" s="6" t="s">
        <v>267</v>
      </c>
      <c r="E10" s="8"/>
      <c r="F10" s="7"/>
      <c r="G10" s="6" t="s">
        <v>268</v>
      </c>
      <c r="H10" s="8"/>
      <c r="I10" s="13" t="str">
        <f aca="false">IF(H10="","",IF(H10&gt;=2,"CONFORME","NON CONFORME"))</f>
        <v/>
      </c>
      <c r="J10" s="8"/>
    </row>
    <row r="11" customFormat="false" ht="15" hidden="false" customHeight="false" outlineLevel="0" collapsed="false">
      <c r="A11" s="9" t="s">
        <v>100</v>
      </c>
      <c r="B11" s="6" t="s">
        <v>269</v>
      </c>
      <c r="C11" s="8"/>
      <c r="D11" s="6" t="s">
        <v>270</v>
      </c>
      <c r="E11" s="8"/>
      <c r="F11" s="7"/>
      <c r="G11" s="6" t="s">
        <v>271</v>
      </c>
      <c r="H11" s="8"/>
      <c r="I11" s="13" t="str">
        <f aca="false">IF(H11="","",IF(H11&gt;=2,"CONFORME","NON CONFORME"))</f>
        <v/>
      </c>
      <c r="J11" s="8"/>
    </row>
    <row r="12" customFormat="false" ht="15" hidden="false" customHeight="false" outlineLevel="0" collapsed="false">
      <c r="A12" s="9" t="s">
        <v>103</v>
      </c>
      <c r="B12" s="6" t="s">
        <v>272</v>
      </c>
      <c r="C12" s="8"/>
      <c r="D12" s="6" t="s">
        <v>273</v>
      </c>
      <c r="E12" s="8"/>
      <c r="F12" s="7"/>
      <c r="G12" s="6" t="s">
        <v>274</v>
      </c>
      <c r="H12" s="8"/>
      <c r="I12" s="13" t="str">
        <f aca="false">IF(H12="","",IF(H12&gt;=2,"CONFORME","NON CONFORME"))</f>
        <v/>
      </c>
      <c r="J12" s="8"/>
    </row>
    <row r="13" customFormat="false" ht="15" hidden="false" customHeight="false" outlineLevel="0" collapsed="false">
      <c r="A13" s="9" t="s">
        <v>107</v>
      </c>
      <c r="B13" s="6" t="s">
        <v>275</v>
      </c>
      <c r="C13" s="8"/>
      <c r="D13" s="6" t="s">
        <v>276</v>
      </c>
      <c r="E13" s="8"/>
      <c r="F13" s="7"/>
      <c r="G13" s="6" t="s">
        <v>277</v>
      </c>
      <c r="H13" s="8"/>
      <c r="I13" s="13" t="str">
        <f aca="false">IF(H13="","",IF(H13&gt;=2,"CONFORME","NON CONFORME"))</f>
        <v/>
      </c>
      <c r="J13" s="8"/>
    </row>
    <row r="14" customFormat="false" ht="15" hidden="false" customHeight="false" outlineLevel="0" collapsed="false">
      <c r="A14" s="9" t="s">
        <v>110</v>
      </c>
      <c r="B14" s="6" t="s">
        <v>278</v>
      </c>
      <c r="C14" s="8"/>
      <c r="D14" s="6" t="s">
        <v>279</v>
      </c>
      <c r="E14" s="8"/>
      <c r="F14" s="7"/>
      <c r="G14" s="6" t="s">
        <v>280</v>
      </c>
      <c r="H14" s="8"/>
      <c r="I14" s="13" t="str">
        <f aca="false">IF(H14="","",IF(H14&gt;=2,"CONFORME","NON CONFORME"))</f>
        <v/>
      </c>
      <c r="J14" s="8"/>
    </row>
    <row r="15" customFormat="false" ht="15" hidden="false" customHeight="false" outlineLevel="0" collapsed="false">
      <c r="A15" s="9" t="s">
        <v>113</v>
      </c>
      <c r="B15" s="6" t="s">
        <v>281</v>
      </c>
      <c r="C15" s="8"/>
      <c r="D15" s="6" t="s">
        <v>282</v>
      </c>
      <c r="E15" s="8"/>
      <c r="F15" s="7"/>
      <c r="G15" s="6" t="s">
        <v>283</v>
      </c>
      <c r="H15" s="8"/>
      <c r="I15" s="13" t="str">
        <f aca="false">IF(H15="","",IF(H15&gt;=2,"CONFORME","NON CONFORME"))</f>
        <v/>
      </c>
      <c r="J15" s="8"/>
    </row>
    <row r="16" customFormat="false" ht="15" hidden="false" customHeight="false" outlineLevel="0" collapsed="false">
      <c r="A16" s="9" t="s">
        <v>116</v>
      </c>
      <c r="B16" s="6" t="s">
        <v>284</v>
      </c>
      <c r="C16" s="8"/>
      <c r="D16" s="6" t="s">
        <v>285</v>
      </c>
      <c r="E16" s="8"/>
      <c r="F16" s="7"/>
      <c r="G16" s="6" t="s">
        <v>286</v>
      </c>
      <c r="H16" s="8"/>
      <c r="I16" s="13" t="str">
        <f aca="false">IF(H16="","",IF(H16&gt;=2,"CONFORME","NON CONFORME"))</f>
        <v/>
      </c>
      <c r="J16" s="8"/>
    </row>
    <row r="17" customFormat="false" ht="15" hidden="false" customHeight="false" outlineLevel="0" collapsed="false">
      <c r="A17" s="9" t="s">
        <v>120</v>
      </c>
      <c r="B17" s="6" t="s">
        <v>287</v>
      </c>
      <c r="C17" s="8"/>
      <c r="D17" s="6" t="s">
        <v>288</v>
      </c>
      <c r="E17" s="8"/>
      <c r="F17" s="7"/>
      <c r="G17" s="6" t="s">
        <v>289</v>
      </c>
      <c r="H17" s="8"/>
      <c r="I17" s="13" t="str">
        <f aca="false">IF(H17="","",IF(H17&gt;=2,"CONFORME","NON CONFORME"))</f>
        <v/>
      </c>
      <c r="J17" s="8"/>
    </row>
    <row r="18" customFormat="false" ht="15" hidden="false" customHeight="false" outlineLevel="0" collapsed="false">
      <c r="A18" s="9" t="s">
        <v>123</v>
      </c>
      <c r="B18" s="6" t="s">
        <v>290</v>
      </c>
      <c r="C18" s="8"/>
      <c r="D18" s="6" t="s">
        <v>291</v>
      </c>
      <c r="E18" s="8"/>
      <c r="F18" s="7"/>
      <c r="G18" s="6" t="s">
        <v>292</v>
      </c>
      <c r="H18" s="8"/>
      <c r="I18" s="13" t="str">
        <f aca="false">IF(H18="","",IF(H18&gt;=2,"CONFORME","NON CONFORME"))</f>
        <v/>
      </c>
      <c r="J18" s="8"/>
    </row>
    <row r="19" customFormat="false" ht="15" hidden="false" customHeight="false" outlineLevel="0" collapsed="false">
      <c r="A19" s="9" t="s">
        <v>127</v>
      </c>
      <c r="B19" s="6" t="s">
        <v>293</v>
      </c>
      <c r="C19" s="8"/>
      <c r="D19" s="6" t="s">
        <v>294</v>
      </c>
      <c r="E19" s="8"/>
      <c r="F19" s="7"/>
      <c r="G19" s="6" t="s">
        <v>295</v>
      </c>
      <c r="H19" s="8"/>
      <c r="I19" s="13" t="str">
        <f aca="false">IF(H19="","",IF(H19&gt;=2,"CONFORME","NON CONFORME"))</f>
        <v/>
      </c>
      <c r="J19" s="8"/>
    </row>
    <row r="20" customFormat="false" ht="15" hidden="false" customHeight="false" outlineLevel="0" collapsed="false">
      <c r="A20" s="9" t="s">
        <v>130</v>
      </c>
      <c r="B20" s="6" t="s">
        <v>296</v>
      </c>
      <c r="C20" s="8"/>
      <c r="D20" s="6" t="s">
        <v>297</v>
      </c>
      <c r="E20" s="8"/>
      <c r="F20" s="7"/>
      <c r="G20" s="6" t="s">
        <v>298</v>
      </c>
      <c r="H20" s="8"/>
      <c r="I20" s="13" t="str">
        <f aca="false">IF(H20="","",IF(H20&gt;=2,"CONFORME","NON CONFORME"))</f>
        <v/>
      </c>
      <c r="J20" s="8"/>
    </row>
    <row r="21" customFormat="false" ht="15" hidden="false" customHeight="false" outlineLevel="0" collapsed="false">
      <c r="A21" s="9" t="s">
        <v>133</v>
      </c>
      <c r="B21" s="6" t="s">
        <v>299</v>
      </c>
      <c r="C21" s="8"/>
      <c r="D21" s="6" t="s">
        <v>300</v>
      </c>
      <c r="E21" s="8"/>
      <c r="F21" s="7"/>
      <c r="G21" s="6" t="s">
        <v>301</v>
      </c>
      <c r="H21" s="8"/>
      <c r="I21" s="13" t="str">
        <f aca="false">IF(H21="","",IF(H21&gt;=2,"CONFORME","NON CONFORME"))</f>
        <v/>
      </c>
      <c r="J21" s="8"/>
    </row>
    <row r="22" customFormat="false" ht="15" hidden="false" customHeight="false" outlineLevel="0" collapsed="false">
      <c r="A22" s="9" t="s">
        <v>136</v>
      </c>
      <c r="B22" s="6" t="s">
        <v>302</v>
      </c>
      <c r="C22" s="8"/>
      <c r="D22" s="6" t="s">
        <v>303</v>
      </c>
      <c r="E22" s="8"/>
      <c r="F22" s="7"/>
      <c r="G22" s="6" t="s">
        <v>304</v>
      </c>
      <c r="H22" s="8"/>
      <c r="I22" s="13" t="str">
        <f aca="false">IF(H22="","",IF(H22&gt;=2,"CONFORME","NON CONFORME"))</f>
        <v/>
      </c>
      <c r="J22" s="8"/>
    </row>
    <row r="23" customFormat="false" ht="15" hidden="false" customHeight="false" outlineLevel="0" collapsed="false">
      <c r="A23" s="9" t="s">
        <v>140</v>
      </c>
      <c r="B23" s="6" t="s">
        <v>305</v>
      </c>
      <c r="C23" s="8"/>
      <c r="D23" s="6" t="s">
        <v>306</v>
      </c>
      <c r="E23" s="8"/>
      <c r="F23" s="7"/>
      <c r="G23" s="6" t="s">
        <v>307</v>
      </c>
      <c r="H23" s="8"/>
      <c r="I23" s="13" t="str">
        <f aca="false">IF(H23="","",IF(H23&gt;=2,"CONFORME","NON CONFORME"))</f>
        <v/>
      </c>
      <c r="J23" s="8"/>
    </row>
    <row r="24" customFormat="false" ht="15" hidden="false" customHeight="false" outlineLevel="0" collapsed="false">
      <c r="A24" s="9" t="s">
        <v>144</v>
      </c>
      <c r="B24" s="6" t="s">
        <v>308</v>
      </c>
      <c r="C24" s="8"/>
      <c r="D24" s="6" t="s">
        <v>309</v>
      </c>
      <c r="E24" s="8"/>
      <c r="F24" s="7"/>
      <c r="G24" s="6" t="s">
        <v>310</v>
      </c>
      <c r="H24" s="8"/>
      <c r="I24" s="13" t="str">
        <f aca="false">IF(H24="","",IF(H24&gt;=2,"CONFORME","NON CONFORME"))</f>
        <v/>
      </c>
      <c r="J24" s="8"/>
    </row>
    <row r="25" customFormat="false" ht="15" hidden="false" customHeight="false" outlineLevel="0" collapsed="false">
      <c r="A25" s="9" t="s">
        <v>148</v>
      </c>
      <c r="B25" s="6" t="s">
        <v>311</v>
      </c>
      <c r="C25" s="8"/>
      <c r="D25" s="6" t="s">
        <v>312</v>
      </c>
      <c r="E25" s="8"/>
      <c r="F25" s="7"/>
      <c r="G25" s="6" t="s">
        <v>313</v>
      </c>
      <c r="H25" s="8"/>
      <c r="I25" s="13" t="str">
        <f aca="false">IF(H25="","",IF(H25&gt;=2,"CONFORME","NON CONFORME"))</f>
        <v/>
      </c>
      <c r="J25" s="8"/>
    </row>
    <row r="26" customFormat="false" ht="15" hidden="false" customHeight="false" outlineLevel="0" collapsed="false">
      <c r="A26" s="9" t="s">
        <v>152</v>
      </c>
      <c r="B26" s="6" t="s">
        <v>314</v>
      </c>
      <c r="C26" s="8"/>
      <c r="D26" s="6" t="s">
        <v>315</v>
      </c>
      <c r="E26" s="8"/>
      <c r="F26" s="7"/>
      <c r="G26" s="6" t="s">
        <v>316</v>
      </c>
      <c r="H26" s="8"/>
      <c r="I26" s="13" t="str">
        <f aca="false">IF(H26="","",IF(H26&gt;=2,"CONFORME","NON CONFORME"))</f>
        <v/>
      </c>
      <c r="J26" s="8"/>
    </row>
    <row r="27" customFormat="false" ht="15" hidden="false" customHeight="false" outlineLevel="0" collapsed="false">
      <c r="A27" s="9" t="s">
        <v>156</v>
      </c>
      <c r="B27" s="6" t="s">
        <v>317</v>
      </c>
      <c r="C27" s="8"/>
      <c r="D27" s="6" t="s">
        <v>318</v>
      </c>
      <c r="E27" s="8"/>
      <c r="F27" s="7"/>
      <c r="G27" s="6" t="s">
        <v>319</v>
      </c>
      <c r="H27" s="8"/>
      <c r="I27" s="13" t="str">
        <f aca="false">IF(H27="","",IF(H27&gt;=2,"CONFORME","NON CONFORME"))</f>
        <v/>
      </c>
      <c r="J27" s="8"/>
    </row>
    <row r="28" customFormat="false" ht="15" hidden="false" customHeight="false" outlineLevel="0" collapsed="false">
      <c r="A28" s="9" t="s">
        <v>160</v>
      </c>
      <c r="B28" s="6" t="s">
        <v>320</v>
      </c>
      <c r="C28" s="8"/>
      <c r="D28" s="6" t="s">
        <v>321</v>
      </c>
      <c r="E28" s="8"/>
      <c r="F28" s="7"/>
      <c r="G28" s="6" t="s">
        <v>322</v>
      </c>
      <c r="H28" s="8"/>
      <c r="I28" s="13" t="str">
        <f aca="false">IF(H28="","",IF(H28&gt;=2,"CONFORME","NON CONFORME"))</f>
        <v/>
      </c>
      <c r="J28" s="8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6" min="4" style="0" width="16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1" t="s">
        <v>323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5" t="s">
        <v>55</v>
      </c>
      <c r="B2" s="5" t="s">
        <v>58</v>
      </c>
      <c r="C2" s="5" t="s">
        <v>324</v>
      </c>
      <c r="D2" s="5" t="s">
        <v>325</v>
      </c>
      <c r="E2" s="5" t="s">
        <v>326</v>
      </c>
      <c r="F2" s="5" t="s">
        <v>327</v>
      </c>
      <c r="G2" s="5" t="s">
        <v>328</v>
      </c>
      <c r="H2" s="5" t="s">
        <v>329</v>
      </c>
      <c r="I2" s="5" t="s">
        <v>330</v>
      </c>
    </row>
    <row r="3" customFormat="false" ht="15" hidden="false" customHeight="false" outlineLevel="0" collapsed="false">
      <c r="A3" s="6" t="s">
        <v>65</v>
      </c>
      <c r="B3" s="6" t="s">
        <v>68</v>
      </c>
      <c r="C3" s="8" t="s">
        <v>331</v>
      </c>
      <c r="D3" s="8" t="s">
        <v>332</v>
      </c>
      <c r="E3" s="8" t="s">
        <v>333</v>
      </c>
      <c r="F3" s="8" t="s">
        <v>334</v>
      </c>
      <c r="G3" s="8" t="s">
        <v>335</v>
      </c>
      <c r="H3" s="8" t="s">
        <v>336</v>
      </c>
      <c r="I3" s="8" t="s">
        <v>73</v>
      </c>
    </row>
    <row r="4" customFormat="false" ht="15" hidden="false" customHeight="false" outlineLevel="0" collapsed="false">
      <c r="A4" s="9" t="s">
        <v>75</v>
      </c>
      <c r="B4" s="6" t="s">
        <v>78</v>
      </c>
      <c r="C4" s="8"/>
      <c r="D4" s="8"/>
      <c r="E4" s="8"/>
      <c r="F4" s="8"/>
      <c r="G4" s="8"/>
      <c r="H4" s="8"/>
      <c r="I4" s="8"/>
    </row>
    <row r="5" customFormat="false" ht="15" hidden="false" customHeight="false" outlineLevel="0" collapsed="false">
      <c r="A5" s="9" t="s">
        <v>79</v>
      </c>
      <c r="B5" s="6" t="s">
        <v>81</v>
      </c>
      <c r="C5" s="8"/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A6" s="9" t="s">
        <v>82</v>
      </c>
      <c r="B6" s="6" t="s">
        <v>84</v>
      </c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9" t="s">
        <v>85</v>
      </c>
      <c r="B7" s="6" t="s">
        <v>88</v>
      </c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9" t="s">
        <v>89</v>
      </c>
      <c r="B8" s="6" t="s">
        <v>92</v>
      </c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9" t="s">
        <v>93</v>
      </c>
      <c r="B9" s="6" t="s">
        <v>96</v>
      </c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9" t="s">
        <v>97</v>
      </c>
      <c r="B10" s="6" t="s">
        <v>99</v>
      </c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9" t="s">
        <v>100</v>
      </c>
      <c r="B11" s="6" t="s">
        <v>102</v>
      </c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9" t="s">
        <v>103</v>
      </c>
      <c r="B12" s="6" t="s">
        <v>106</v>
      </c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9" t="s">
        <v>107</v>
      </c>
      <c r="B13" s="6" t="s">
        <v>109</v>
      </c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9" t="s">
        <v>110</v>
      </c>
      <c r="B14" s="6" t="s">
        <v>112</v>
      </c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9" t="s">
        <v>113</v>
      </c>
      <c r="B15" s="6" t="s">
        <v>115</v>
      </c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9" t="s">
        <v>116</v>
      </c>
      <c r="B16" s="6" t="s">
        <v>119</v>
      </c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9" t="s">
        <v>120</v>
      </c>
      <c r="B17" s="6" t="s">
        <v>122</v>
      </c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9" t="s">
        <v>123</v>
      </c>
      <c r="B18" s="6" t="s">
        <v>126</v>
      </c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9" t="s">
        <v>127</v>
      </c>
      <c r="B19" s="6" t="s">
        <v>129</v>
      </c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9" t="s">
        <v>130</v>
      </c>
      <c r="B20" s="6" t="s">
        <v>132</v>
      </c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9" t="s">
        <v>133</v>
      </c>
      <c r="B21" s="6" t="s">
        <v>135</v>
      </c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9" t="s">
        <v>136</v>
      </c>
      <c r="B22" s="6" t="s">
        <v>139</v>
      </c>
      <c r="C22" s="8"/>
      <c r="D22" s="8"/>
      <c r="E22" s="8"/>
      <c r="F22" s="8"/>
      <c r="G22" s="8"/>
      <c r="H22" s="8"/>
      <c r="I22" s="8"/>
    </row>
    <row r="23" customFormat="false" ht="15" hidden="false" customHeight="false" outlineLevel="0" collapsed="false">
      <c r="A23" s="9" t="s">
        <v>140</v>
      </c>
      <c r="B23" s="6" t="s">
        <v>143</v>
      </c>
      <c r="C23" s="8"/>
      <c r="D23" s="8"/>
      <c r="E23" s="8"/>
      <c r="F23" s="8"/>
      <c r="G23" s="8"/>
      <c r="H23" s="8"/>
      <c r="I23" s="8"/>
    </row>
    <row r="24" customFormat="false" ht="15" hidden="false" customHeight="false" outlineLevel="0" collapsed="false">
      <c r="A24" s="9" t="s">
        <v>144</v>
      </c>
      <c r="B24" s="6" t="s">
        <v>147</v>
      </c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A25" s="9" t="s">
        <v>148</v>
      </c>
      <c r="B25" s="6" t="s">
        <v>151</v>
      </c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9" t="s">
        <v>152</v>
      </c>
      <c r="B26" s="6" t="s">
        <v>155</v>
      </c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A27" s="9" t="s">
        <v>156</v>
      </c>
      <c r="B27" s="6" t="s">
        <v>159</v>
      </c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9" t="s">
        <v>160</v>
      </c>
      <c r="B28" s="6" t="s">
        <v>163</v>
      </c>
      <c r="C28" s="8"/>
      <c r="D28" s="8"/>
      <c r="E28" s="8"/>
      <c r="F28" s="8"/>
      <c r="G28" s="8"/>
      <c r="H28" s="8"/>
      <c r="I28" s="8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337</v>
      </c>
      <c r="B1" s="1"/>
      <c r="C1" s="1"/>
      <c r="D1" s="1"/>
    </row>
    <row r="3" customFormat="false" ht="19.5" hidden="false" customHeight="true" outlineLevel="0" collapsed="false">
      <c r="B3" s="14" t="s">
        <v>338</v>
      </c>
      <c r="C3" s="15" t="n">
        <f aca="false">COUNTA(01_Pointeuses!I4:I28)</f>
        <v>0</v>
      </c>
      <c r="D3" s="16" t="s">
        <v>339</v>
      </c>
    </row>
    <row r="4" customFormat="false" ht="19.5" hidden="false" customHeight="true" outlineLevel="0" collapsed="false">
      <c r="B4" s="14" t="s">
        <v>340</v>
      </c>
      <c r="C4" s="15" t="n">
        <f aca="false">25-C3</f>
        <v>25</v>
      </c>
      <c r="D4" s="16" t="s">
        <v>341</v>
      </c>
    </row>
    <row r="5" customFormat="false" ht="19.5" hidden="false" customHeight="true" outlineLevel="0" collapsed="false">
      <c r="B5" s="14" t="s">
        <v>342</v>
      </c>
      <c r="C5" s="15" t="n">
        <f aca="false">COUNTA(02_Liens_Certification!I4:I28)</f>
        <v>0</v>
      </c>
      <c r="D5" s="16" t="s">
        <v>343</v>
      </c>
    </row>
    <row r="6" customFormat="false" ht="19.5" hidden="false" customHeight="true" outlineLevel="0" collapsed="false">
      <c r="B6" s="14" t="s">
        <v>344</v>
      </c>
      <c r="C6" s="15" t="n">
        <f aca="false">COUNTIF(02_Liens_Certification!I4:I28,"PASS")</f>
        <v>0</v>
      </c>
      <c r="D6" s="16" t="s">
        <v>345</v>
      </c>
    </row>
    <row r="7" customFormat="false" ht="19.5" hidden="false" customHeight="true" outlineLevel="0" collapsed="false">
      <c r="B7" s="14" t="s">
        <v>346</v>
      </c>
      <c r="C7" s="15" t="n">
        <f aca="false">COUNTIF(02_Liens_Certification!I4:I28,"FAIL")</f>
        <v>0</v>
      </c>
      <c r="D7" s="16" t="s">
        <v>347</v>
      </c>
    </row>
    <row r="8" customFormat="false" ht="19.5" hidden="false" customHeight="true" outlineLevel="0" collapsed="false">
      <c r="B8" s="14" t="s">
        <v>348</v>
      </c>
      <c r="C8" s="15" t="n">
        <f aca="false">COUNTIF(02_Liens_Certification!J4:J28,"HORS NORME")</f>
        <v>0</v>
      </c>
      <c r="D8" s="16" t="s">
        <v>349</v>
      </c>
    </row>
    <row r="9" customFormat="false" ht="19.5" hidden="false" customHeight="true" outlineLevel="0" collapsed="false">
      <c r="B9" s="14" t="s">
        <v>350</v>
      </c>
      <c r="C9" s="15" t="str">
        <f aca="false">IF(COUNT(02_Liens_Certification!F4:F28)=0,"",MAX(02_Liens_Certification!F4:F28))</f>
        <v/>
      </c>
      <c r="D9" s="16" t="s">
        <v>351</v>
      </c>
    </row>
    <row r="10" customFormat="false" ht="19.5" hidden="false" customHeight="true" outlineLevel="0" collapsed="false">
      <c r="B10" s="14" t="s">
        <v>352</v>
      </c>
      <c r="C10" s="15" t="n">
        <f aca="false">SUM(02_Liens_Certification!F4:F28)</f>
        <v>0</v>
      </c>
      <c r="D10" s="16" t="s">
        <v>353</v>
      </c>
    </row>
    <row r="11" customFormat="false" ht="19.5" hidden="false" customHeight="true" outlineLevel="0" collapsed="false">
      <c r="B11" s="14" t="s">
        <v>354</v>
      </c>
      <c r="C11" s="15" t="n">
        <f aca="false">COUNT(03_Alimentations!H4:H28)</f>
        <v>0</v>
      </c>
      <c r="D11" s="16" t="s">
        <v>355</v>
      </c>
    </row>
    <row r="12" customFormat="false" ht="19.5" hidden="false" customHeight="true" outlineLevel="0" collapsed="false">
      <c r="B12" s="14" t="s">
        <v>356</v>
      </c>
      <c r="C12" s="15" t="n">
        <f aca="false">COUNTIF(03_Alimentations!I4:I28,"CONFORME")</f>
        <v>0</v>
      </c>
      <c r="D12" s="16" t="s">
        <v>357</v>
      </c>
    </row>
    <row r="13" customFormat="false" ht="19.5" hidden="false" customHeight="true" outlineLevel="0" collapsed="false">
      <c r="B13" s="14" t="s">
        <v>358</v>
      </c>
      <c r="C13" s="15" t="str">
        <f aca="false">IF(COUNT(03_Alimentations!H4:H28)=0,"",MIN(03_Alimentations!H4:H28))</f>
        <v/>
      </c>
      <c r="D13" s="16" t="s">
        <v>359</v>
      </c>
    </row>
    <row r="14" customFormat="false" ht="19.5" hidden="false" customHeight="true" outlineLevel="0" collapsed="false">
      <c r="B14" s="14" t="s">
        <v>360</v>
      </c>
      <c r="C14" s="15" t="n">
        <f aca="false">COUNTA(04_Reseau_IP!D4:D28)</f>
        <v>0</v>
      </c>
      <c r="D14" s="16" t="s">
        <v>361</v>
      </c>
    </row>
    <row r="16" customFormat="false" ht="15" hidden="false" customHeight="false" outlineLevel="0" collapsed="false">
      <c r="B16" s="4" t="s">
        <v>362</v>
      </c>
      <c r="C16" s="17" t="str">
        <f aca="false">IF(AND(C7=0,C8=0,C6=25,C12=25,C14=25),"RECEVABLE","RÉSERVES")</f>
        <v>RÉSERVES</v>
      </c>
      <c r="D16" s="18" t="s">
        <v>363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2026-08-29T09:09:16Z</dcterms:created>
  <dc:creator>openpyxl</dc:creator>
  <dc:description/>
  <dc:language>en-US</dc:language>
  <cp:lastModifiedBy/>
  <dcterms:modified xsi:type="dcterms:W3CDTF">2026-08-29T09:09:16Z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